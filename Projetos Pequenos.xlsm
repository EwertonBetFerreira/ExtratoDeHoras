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Calculo_de_Horas\"/>
    </mc:Choice>
  </mc:AlternateContent>
  <bookViews>
    <workbookView xWindow="0" yWindow="0" windowWidth="4740" windowHeight="4635" tabRatio="930" activeTab="3"/>
  </bookViews>
  <sheets>
    <sheet name="CAPA" sheetId="4" r:id="rId1"/>
    <sheet name="Lista" sheetId="8" state="hidden" r:id="rId2"/>
    <sheet name="e-Forms In-Loco" sheetId="10" r:id="rId3"/>
    <sheet name="e-Forms DC" sheetId="5" r:id="rId4"/>
    <sheet name="nddConnect" sheetId="13" state="hidden" r:id="rId5"/>
    <sheet name="NFC-e" sheetId="3" state="hidden" r:id="rId6"/>
    <sheet name="NFS-e Entr. In-loco" sheetId="12" state="hidden" r:id="rId7"/>
    <sheet name="NFS-e Entr. DC" sheetId="7" state="hidden" r:id="rId8"/>
    <sheet name="NFS-e Emiss. In-Loco" sheetId="11" state="hidden" r:id="rId9"/>
    <sheet name="NFS-e Emiss. DC" sheetId="9" state="hidden" r:id="rId10"/>
    <sheet name="REINF In-Loco" sheetId="14" state="hidden" r:id="rId11"/>
    <sheet name="REINF DC" sheetId="15" state="hidden" r:id="rId12"/>
  </sheets>
  <externalReferences>
    <externalReference r:id="rId1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5" l="1"/>
  <c r="B7" i="5"/>
  <c r="E16" i="4" l="1"/>
  <c r="E15" i="4"/>
  <c r="E7" i="4" l="1"/>
  <c r="H11" i="4"/>
  <c r="H10" i="4"/>
  <c r="E10" i="4"/>
  <c r="H47" i="4"/>
  <c r="H9" i="4" s="1"/>
  <c r="H46" i="4"/>
  <c r="H8" i="4" s="1"/>
  <c r="H45" i="4"/>
  <c r="E11" i="4"/>
  <c r="H52" i="4"/>
  <c r="E52" i="4"/>
  <c r="E44" i="4"/>
  <c r="H35" i="4"/>
  <c r="E35" i="4"/>
  <c r="H24" i="4"/>
  <c r="E24" i="4"/>
  <c r="H15" i="4"/>
  <c r="H44" i="4" l="1"/>
  <c r="H7" i="4"/>
  <c r="H60" i="4"/>
  <c r="H65" i="4" s="1"/>
  <c r="B19" i="3"/>
  <c r="H6" i="3"/>
  <c r="I6" i="3" s="1"/>
  <c r="H7" i="3"/>
  <c r="I7" i="3" s="1"/>
  <c r="G5" i="3"/>
  <c r="H5" i="3" s="1"/>
  <c r="I5" i="3" s="1"/>
  <c r="G4" i="3"/>
  <c r="H4" i="3" s="1"/>
  <c r="I4" i="3" s="1"/>
  <c r="H3" i="3"/>
  <c r="E15" i="14"/>
  <c r="B22" i="14"/>
  <c r="B21" i="14" s="1"/>
  <c r="B20" i="14"/>
  <c r="B19" i="14" s="1"/>
  <c r="E14" i="14" s="1"/>
  <c r="H5" i="14"/>
  <c r="I5" i="14" s="1"/>
  <c r="J5" i="14" s="1"/>
  <c r="H4" i="14"/>
  <c r="I4" i="14" s="1"/>
  <c r="J4" i="14" s="1"/>
  <c r="H63" i="4" l="1"/>
  <c r="H6" i="4"/>
  <c r="H5" i="4" s="1"/>
  <c r="H62" i="4"/>
  <c r="H64" i="4"/>
  <c r="H61" i="4"/>
  <c r="H66" i="4"/>
  <c r="J5" i="3"/>
  <c r="B17" i="3"/>
  <c r="J4" i="3"/>
  <c r="B18" i="3"/>
  <c r="B27" i="3"/>
  <c r="B26" i="3" s="1"/>
  <c r="E19" i="3" s="1"/>
  <c r="J7" i="3"/>
  <c r="B25" i="3"/>
  <c r="B24" i="3" s="1"/>
  <c r="E18" i="3" s="1"/>
  <c r="J6" i="3"/>
  <c r="H8" i="3"/>
  <c r="I3" i="3"/>
  <c r="I8" i="3" l="1"/>
  <c r="J3" i="3"/>
  <c r="J8" i="3" s="1"/>
  <c r="B23" i="11" l="1"/>
  <c r="B21" i="11"/>
  <c r="H6" i="11"/>
  <c r="I6" i="11" s="1"/>
  <c r="H5" i="11"/>
  <c r="I5" i="11" s="1"/>
  <c r="J5" i="11" s="1"/>
  <c r="B22" i="11"/>
  <c r="E16" i="11" s="1"/>
  <c r="B19" i="12"/>
  <c r="H5" i="12"/>
  <c r="I5" i="12" s="1"/>
  <c r="J5" i="12" s="1"/>
  <c r="H4" i="12"/>
  <c r="I4" i="12" s="1"/>
  <c r="J4" i="12" s="1"/>
  <c r="B3" i="7"/>
  <c r="B3" i="13"/>
  <c r="H7" i="10"/>
  <c r="I7" i="10" s="1"/>
  <c r="B22" i="10" s="1"/>
  <c r="H6" i="10"/>
  <c r="I6" i="10" s="1"/>
  <c r="B20" i="10" s="1"/>
  <c r="H5" i="10"/>
  <c r="I5" i="10" s="1"/>
  <c r="J5" i="10" s="1"/>
  <c r="H4" i="10"/>
  <c r="I4" i="10" s="1"/>
  <c r="J4" i="10" s="1"/>
  <c r="G3" i="10"/>
  <c r="H3" i="10" s="1"/>
  <c r="E14" i="13"/>
  <c r="B14" i="13"/>
  <c r="B15" i="13"/>
  <c r="I5" i="13"/>
  <c r="J5" i="13" s="1"/>
  <c r="H4" i="13"/>
  <c r="I4" i="13" s="1"/>
  <c r="J4" i="13" s="1"/>
  <c r="H5" i="13"/>
  <c r="H6" i="13"/>
  <c r="I6" i="13" s="1"/>
  <c r="J6" i="13" s="1"/>
  <c r="H7" i="13"/>
  <c r="I7" i="13" s="1"/>
  <c r="J7" i="13" s="1"/>
  <c r="H3" i="13"/>
  <c r="I3" i="13" s="1"/>
  <c r="H6" i="15"/>
  <c r="I6" i="15" s="1"/>
  <c r="J6" i="15" s="1"/>
  <c r="I5" i="15"/>
  <c r="J5" i="15" s="1"/>
  <c r="H5" i="15"/>
  <c r="H4" i="15"/>
  <c r="I4" i="15" s="1"/>
  <c r="J4" i="15" s="1"/>
  <c r="I3" i="15"/>
  <c r="J3" i="15" s="1"/>
  <c r="H3" i="15"/>
  <c r="B20" i="15"/>
  <c r="B19" i="15" s="1"/>
  <c r="E15" i="15" s="1"/>
  <c r="B20" i="9"/>
  <c r="B18" i="9"/>
  <c r="B21" i="9"/>
  <c r="B19" i="9"/>
  <c r="H7" i="9"/>
  <c r="I7" i="9" s="1"/>
  <c r="J7" i="9" s="1"/>
  <c r="H6" i="9"/>
  <c r="I6" i="9" s="1"/>
  <c r="H5" i="9"/>
  <c r="I5" i="9" s="1"/>
  <c r="G4" i="9"/>
  <c r="H4" i="9" s="1"/>
  <c r="I4" i="9" s="1"/>
  <c r="J4" i="9" s="1"/>
  <c r="G3" i="9"/>
  <c r="H3" i="9" s="1"/>
  <c r="E11" i="7"/>
  <c r="H5" i="7"/>
  <c r="I5" i="7" s="1"/>
  <c r="J5" i="7" s="1"/>
  <c r="H4" i="7"/>
  <c r="I4" i="7" s="1"/>
  <c r="H3" i="7"/>
  <c r="H6" i="7" s="1"/>
  <c r="E18" i="5"/>
  <c r="E17" i="5"/>
  <c r="H8" i="5"/>
  <c r="I8" i="5" s="1"/>
  <c r="J8" i="5" s="1"/>
  <c r="I7" i="5"/>
  <c r="J7" i="5" s="1"/>
  <c r="H7" i="5"/>
  <c r="H6" i="5"/>
  <c r="I6" i="5" s="1"/>
  <c r="G5" i="5"/>
  <c r="H5" i="5" s="1"/>
  <c r="I5" i="5" s="1"/>
  <c r="J5" i="5" s="1"/>
  <c r="G4" i="5"/>
  <c r="H4" i="5" s="1"/>
  <c r="I4" i="5" s="1"/>
  <c r="J4" i="5" s="1"/>
  <c r="H3" i="5"/>
  <c r="H7" i="15" l="1"/>
  <c r="B19" i="10"/>
  <c r="E16" i="10" s="1"/>
  <c r="H8" i="10"/>
  <c r="B13" i="9"/>
  <c r="J6" i="11"/>
  <c r="B20" i="11"/>
  <c r="B21" i="12"/>
  <c r="B20" i="12" s="1"/>
  <c r="E18" i="12" s="1"/>
  <c r="B21" i="10"/>
  <c r="E17" i="10" s="1"/>
  <c r="J7" i="10"/>
  <c r="I3" i="10"/>
  <c r="B14" i="10" s="1"/>
  <c r="J6" i="10"/>
  <c r="J3" i="13"/>
  <c r="J7" i="15"/>
  <c r="I7" i="15"/>
  <c r="J5" i="9"/>
  <c r="E16" i="9"/>
  <c r="J6" i="9"/>
  <c r="E17" i="9"/>
  <c r="I3" i="9"/>
  <c r="B14" i="9" s="1"/>
  <c r="H8" i="9"/>
  <c r="J4" i="7"/>
  <c r="B18" i="7"/>
  <c r="B17" i="7" s="1"/>
  <c r="E16" i="7" s="1"/>
  <c r="B20" i="7"/>
  <c r="B19" i="7" s="1"/>
  <c r="E17" i="7" s="1"/>
  <c r="I3" i="7"/>
  <c r="B8" i="7" s="1"/>
  <c r="J6" i="5"/>
  <c r="B14" i="5"/>
  <c r="B19" i="5"/>
  <c r="H9" i="5"/>
  <c r="B21" i="5"/>
  <c r="I3" i="5"/>
  <c r="B13" i="5" s="1"/>
  <c r="E15" i="11" l="1"/>
  <c r="I8" i="10"/>
  <c r="B8" i="10" s="1"/>
  <c r="J3" i="10"/>
  <c r="J8" i="10" s="1"/>
  <c r="J3" i="9"/>
  <c r="J8" i="9" s="1"/>
  <c r="I8" i="9"/>
  <c r="I6" i="7"/>
  <c r="J6" i="7" s="1"/>
  <c r="J3" i="7"/>
  <c r="I9" i="5"/>
  <c r="J3" i="5"/>
  <c r="J9" i="5" s="1"/>
  <c r="B18" i="5"/>
  <c r="B20" i="5"/>
  <c r="G4" i="11" l="1"/>
  <c r="G3" i="11"/>
  <c r="G3" i="12"/>
  <c r="B6" i="15" l="1"/>
  <c r="E13" i="15" s="1"/>
  <c r="B14" i="15"/>
  <c r="B4" i="15"/>
  <c r="E12" i="15" s="1"/>
  <c r="B6" i="14"/>
  <c r="E12" i="14" s="1"/>
  <c r="B4" i="14"/>
  <c r="E11" i="14" s="1"/>
  <c r="H3" i="14"/>
  <c r="H6" i="14" s="1"/>
  <c r="B13" i="15" l="1"/>
  <c r="I3" i="14"/>
  <c r="B10" i="13"/>
  <c r="J3" i="14" l="1"/>
  <c r="J6" i="14" s="1"/>
  <c r="B14" i="14"/>
  <c r="B12" i="14" s="1"/>
  <c r="B3" i="14" s="1"/>
  <c r="B12" i="15"/>
  <c r="B3" i="15" s="1"/>
  <c r="I6" i="14"/>
  <c r="H8" i="13"/>
  <c r="B4" i="13"/>
  <c r="E13" i="13" s="1"/>
  <c r="E12" i="13" s="1"/>
  <c r="E14" i="15" l="1"/>
  <c r="E11" i="15" s="1"/>
  <c r="E13" i="14"/>
  <c r="E10" i="14" s="1"/>
  <c r="J8" i="13"/>
  <c r="I8" i="13"/>
  <c r="E13" i="12" l="1"/>
  <c r="B14" i="12"/>
  <c r="E16" i="12" s="1"/>
  <c r="B10" i="12"/>
  <c r="E15" i="12" s="1"/>
  <c r="B5" i="12"/>
  <c r="H3" i="12"/>
  <c r="H6" i="12" s="1"/>
  <c r="E14" i="9"/>
  <c r="E13" i="9"/>
  <c r="E12" i="11"/>
  <c r="E12" i="7"/>
  <c r="I3" i="12" l="1"/>
  <c r="B6" i="11"/>
  <c r="E13" i="11" s="1"/>
  <c r="B4" i="11"/>
  <c r="H4" i="11"/>
  <c r="I4" i="11" s="1"/>
  <c r="H3" i="11"/>
  <c r="I3" i="11" s="1"/>
  <c r="B4" i="9"/>
  <c r="J3" i="12" l="1"/>
  <c r="B9" i="12"/>
  <c r="I6" i="12"/>
  <c r="B16" i="11"/>
  <c r="J4" i="11"/>
  <c r="B15" i="11"/>
  <c r="I7" i="11"/>
  <c r="J3" i="11"/>
  <c r="H7" i="11"/>
  <c r="B6" i="9"/>
  <c r="J6" i="12" l="1"/>
  <c r="B18" i="12"/>
  <c r="E17" i="12" s="1"/>
  <c r="B7" i="12"/>
  <c r="E14" i="12" s="1"/>
  <c r="E12" i="12" s="1"/>
  <c r="B12" i="9"/>
  <c r="B3" i="9" s="1"/>
  <c r="B13" i="11"/>
  <c r="B3" i="11" s="1"/>
  <c r="J7" i="11"/>
  <c r="B4" i="12" l="1"/>
  <c r="B3" i="12"/>
  <c r="E14" i="11"/>
  <c r="E11" i="11" s="1"/>
  <c r="E15" i="9"/>
  <c r="B6" i="10"/>
  <c r="B4" i="10"/>
  <c r="E13" i="10" s="1"/>
  <c r="E14" i="10" l="1"/>
  <c r="E17" i="4"/>
  <c r="E8" i="4" s="1"/>
  <c r="E12" i="9"/>
  <c r="B12" i="10"/>
  <c r="E18" i="4" s="1"/>
  <c r="E9" i="4" s="1"/>
  <c r="E60" i="4" s="1"/>
  <c r="B6" i="5"/>
  <c r="E15" i="5" s="1"/>
  <c r="B4" i="5"/>
  <c r="E14" i="5" s="1"/>
  <c r="E66" i="4" l="1"/>
  <c r="E62" i="4"/>
  <c r="E65" i="4"/>
  <c r="E64" i="4"/>
  <c r="E6" i="4"/>
  <c r="E5" i="4" s="1"/>
  <c r="E63" i="4"/>
  <c r="E61" i="4"/>
  <c r="E15" i="10"/>
  <c r="E12" i="10" s="1"/>
  <c r="B3" i="10"/>
  <c r="B12" i="5" l="1"/>
  <c r="E16" i="5" l="1"/>
  <c r="E13" i="5" s="1"/>
  <c r="B13" i="7"/>
  <c r="E15" i="7" s="1"/>
  <c r="B9" i="7"/>
  <c r="E14" i="7" s="1"/>
  <c r="B5" i="7"/>
  <c r="B7" i="7" l="1"/>
  <c r="E13" i="7" l="1"/>
  <c r="B4" i="7"/>
  <c r="B6" i="3" l="1"/>
  <c r="E16" i="3" s="1"/>
  <c r="B4" i="3"/>
  <c r="E15" i="3" s="1"/>
  <c r="B15" i="3" l="1"/>
  <c r="B3" i="3" s="1"/>
  <c r="E17" i="3" l="1"/>
  <c r="E14" i="3" s="1"/>
</calcChain>
</file>

<file path=xl/sharedStrings.xml><?xml version="1.0" encoding="utf-8"?>
<sst xmlns="http://schemas.openxmlformats.org/spreadsheetml/2006/main" count="683" uniqueCount="173">
  <si>
    <t>Item</t>
  </si>
  <si>
    <t>Tempo</t>
  </si>
  <si>
    <t>Agentes em PDV</t>
  </si>
  <si>
    <t>Retaguarda</t>
  </si>
  <si>
    <t>Quantos?</t>
  </si>
  <si>
    <t>Minutos</t>
  </si>
  <si>
    <t>Horas</t>
  </si>
  <si>
    <t>Dias</t>
  </si>
  <si>
    <t>Tempo (Min)</t>
  </si>
  <si>
    <t>Total</t>
  </si>
  <si>
    <t xml:space="preserve">Concentrador </t>
  </si>
  <si>
    <t>Nome da Tarefa</t>
  </si>
  <si>
    <t>Duração em horas</t>
  </si>
  <si>
    <t xml:space="preserve">      Kick-off </t>
  </si>
  <si>
    <t xml:space="preserve">      Plano de execução </t>
  </si>
  <si>
    <t xml:space="preserve">      TEP </t>
  </si>
  <si>
    <t xml:space="preserve">      Sing off </t>
  </si>
  <si>
    <t xml:space="preserve">   Integração </t>
  </si>
  <si>
    <t xml:space="preserve">      Montagem da Integração </t>
  </si>
  <si>
    <t xml:space="preserve">   Instalação Ambiente DEV/HMG </t>
  </si>
  <si>
    <t xml:space="preserve">      Configuração Retaguarda </t>
  </si>
  <si>
    <t xml:space="preserve">      Configuração Concentrador </t>
  </si>
  <si>
    <t xml:space="preserve">      Teste Integração </t>
  </si>
  <si>
    <t xml:space="preserve">      Teste de Fluxo </t>
  </si>
  <si>
    <t xml:space="preserve">      Teste Unitário </t>
  </si>
  <si>
    <t xml:space="preserve">   Instalação Ambiente PRD </t>
  </si>
  <si>
    <t xml:space="preserve">      Go Live </t>
  </si>
  <si>
    <t xml:space="preserve">      Follow Up </t>
  </si>
  <si>
    <t>NFC-e</t>
  </si>
  <si>
    <t>Estimativa de Horas</t>
  </si>
  <si>
    <t>      Instalação Retaguarda (Matriz)</t>
  </si>
  <si>
    <t>      Instalação Concentrador (Matriz)</t>
  </si>
  <si>
    <t>      Instalação dos Agentes - 4 PDVs para testes</t>
  </si>
  <si>
    <t>2 Hora por concentrador na Loja</t>
  </si>
  <si>
    <t>      Instalação e Configuração Concentrador (Matriz)</t>
  </si>
  <si>
    <t xml:space="preserve">      Instalação dos Agentes </t>
  </si>
  <si>
    <t>NFC-e Emissão</t>
  </si>
  <si>
    <t>Calculo de Horas</t>
  </si>
  <si>
    <t>Extrato Detalhado de Horas</t>
  </si>
  <si>
    <t>LEGENDA:</t>
  </si>
  <si>
    <t>Calculo Automatico</t>
  </si>
  <si>
    <t>Campos Editaveis</t>
  </si>
  <si>
    <t>Valores Fixos</t>
  </si>
  <si>
    <t>Cliente</t>
  </si>
  <si>
    <t xml:space="preserve"> </t>
  </si>
  <si>
    <t xml:space="preserve">Estimativa Total de Horas </t>
  </si>
  <si>
    <t>   Etapa 1 (NFS-e de Emissão Homologação)</t>
  </si>
  <si>
    <t>Etapa 2  (NFS-e de Emissão Produção)</t>
  </si>
  <si>
    <t xml:space="preserve">      Configuração de Jobs </t>
  </si>
  <si>
    <t>Quantidade de Prefeituras</t>
  </si>
  <si>
    <t>Métrica de horas por Solução</t>
  </si>
  <si>
    <t>Mensageria de documentos de Entrada</t>
  </si>
  <si>
    <t>   Etapa 1 (NFS-e de Entrada Data Center NDDigital)</t>
  </si>
  <si>
    <t>Etapa 2 (Entrada NFS-e e Documentos não Estruturados)</t>
  </si>
  <si>
    <t>Automação SAP</t>
  </si>
  <si>
    <t>Etapa 2 (Entrada NFS-e - Documentos não Estruturados)</t>
  </si>
  <si>
    <t>      Criação do Ambiente DataCenter Docs Não Estruturados;</t>
  </si>
  <si>
    <t>Funcional SAP</t>
  </si>
  <si>
    <t>Programador SAP</t>
  </si>
  <si>
    <t>Gerente de projetos</t>
  </si>
  <si>
    <t>25 minutos por PDV</t>
  </si>
  <si>
    <t>Modulo</t>
  </si>
  <si>
    <t xml:space="preserve">Tempo </t>
  </si>
  <si>
    <t>30 minutos Parametrização por concentrador</t>
  </si>
  <si>
    <t xml:space="preserve">      Importação Legado</t>
  </si>
  <si>
    <t>      Instalação e-Forms</t>
  </si>
  <si>
    <t xml:space="preserve">      Configuração de JOBS</t>
  </si>
  <si>
    <t xml:space="preserve">      Instalação do e-Agent </t>
  </si>
  <si>
    <t>Criação de JOB</t>
  </si>
  <si>
    <t>Instalação do e-Agent - DC</t>
  </si>
  <si>
    <t>30 minutos por e-Agent</t>
  </si>
  <si>
    <t>30 Minutos por JOB</t>
  </si>
  <si>
    <t>e-Forms In-Loco</t>
  </si>
  <si>
    <t xml:space="preserve">      Configuração de JOBS (4 Jobs)</t>
  </si>
  <si>
    <t>      Instalação e-Forms NFS-e</t>
  </si>
  <si>
    <t xml:space="preserve">      Configuração Path Prefeituras (1 cidades )</t>
  </si>
  <si>
    <t>1 Horas por Job</t>
  </si>
  <si>
    <t>Configuração JOB (Por Municipio)</t>
  </si>
  <si>
    <t>30 Minutos por Municipio (Pacth)</t>
  </si>
  <si>
    <t xml:space="preserve">      Configuração Path Prefeituras</t>
  </si>
  <si>
    <t>40 Minutos por JOB</t>
  </si>
  <si>
    <t>Quantidades de Agentes</t>
  </si>
  <si>
    <t>30 Minutos por Agente</t>
  </si>
  <si>
    <t>      Cronograma Macro</t>
  </si>
  <si>
    <t>      Instalação dos Agentes (Diretórios ou Banco)</t>
  </si>
  <si>
    <t>e-Forms DC</t>
  </si>
  <si>
    <t>Projeto NFS-e Emissão - In-Loco</t>
  </si>
  <si>
    <t>Projeto NFS-e Emissão - DC</t>
  </si>
  <si>
    <t>Extrato Simplificado de Horas - NFC-e</t>
  </si>
  <si>
    <t>Extrato Simplificado de Horas - e-Forms In-Loco</t>
  </si>
  <si>
    <t>Extrato Simplificado de Horas - e-Forms DC</t>
  </si>
  <si>
    <t>Extrato Simplificado de Horas - NFS-e Emissão In-Loco</t>
  </si>
  <si>
    <t>Extrato Simplificado de Horas - NFS-e Emissão DC</t>
  </si>
  <si>
    <t>Etapas</t>
  </si>
  <si>
    <t>   Coordenador de Projeto para todas as Soluções</t>
  </si>
  <si>
    <t>      Configuração de Jobs para busca automatica nos webservices dos municipios (4 Municipios (Jobs)).</t>
  </si>
  <si>
    <t>1 Horas</t>
  </si>
  <si>
    <t>Criação de Job (Municipios com WS)</t>
  </si>
  <si>
    <t xml:space="preserve">Configuração modulo WebTransfer </t>
  </si>
  <si>
    <t>Configuração DC NDD Recepção Docs Não Estruturados ( Municipios)</t>
  </si>
  <si>
    <t>OBS: Extrato de horas para Produção, não há estimativa para homologação</t>
  </si>
  <si>
    <t>NFS-e de Entrada e Doc. não Estruturados</t>
  </si>
  <si>
    <t>NFS-e de Entrada e Doc. não Estruturados - In-Loco</t>
  </si>
  <si>
    <t>   Etapa 1 (NFS-e de Entrada In-Loco)</t>
  </si>
  <si>
    <t>   Etapa 1 (NFS-e de Entrada In-loco)</t>
  </si>
  <si>
    <t>Extrato Simplificado de Horas - NFS-e de Entrada e Doc. não Estrut. - DC</t>
  </si>
  <si>
    <t>Extrato Simplificado de Horas - NFS-e de Entrada e Doc. não Estrut. - In-Loco</t>
  </si>
  <si>
    <t>VALIDAR RICARDO e CLEITON TESTES</t>
  </si>
  <si>
    <t>NFS-e Entrada In-Loco</t>
  </si>
  <si>
    <t>NFS-e Entrada DC</t>
  </si>
  <si>
    <t>NFS-e Emissão In-Loco</t>
  </si>
  <si>
    <t>NFS-e Emissão DC</t>
  </si>
  <si>
    <t>Coord. Projeto</t>
  </si>
  <si>
    <t xml:space="preserve">      Reuniões Status Report </t>
  </si>
  <si>
    <t xml:space="preserve">Coordenador de Projeto </t>
  </si>
  <si>
    <t xml:space="preserve">Integração </t>
  </si>
  <si>
    <t xml:space="preserve">Instalação Ambiente DEV/HMG </t>
  </si>
  <si>
    <t xml:space="preserve">Instalação Ambiente PRD </t>
  </si>
  <si>
    <t xml:space="preserve">      Criação de Owner</t>
  </si>
  <si>
    <t>Parametrização nddConnect</t>
  </si>
  <si>
    <t>      Instalação de Agents e Connectores</t>
  </si>
  <si>
    <t>      Configuração de Incidentes</t>
  </si>
  <si>
    <t>      Teste de Operação (Qualidade)</t>
  </si>
  <si>
    <t>Go Live</t>
  </si>
  <si>
    <t>Treinamento</t>
  </si>
  <si>
    <t>Follow-up</t>
  </si>
  <si>
    <t>Limpar Owner nddConnect</t>
  </si>
  <si>
    <t>nddConnect - Gestão de Entradas</t>
  </si>
  <si>
    <t>Extrato Simplificado de Horas - nddConnect - Gestão de Entradas</t>
  </si>
  <si>
    <t>HORAS APENAS PARA SOLUÇÃO NDDCONNECT - É PREMISSA O CLIENTE TER A SOLUÇÃO E-FORMS</t>
  </si>
  <si>
    <t>FEINF In-Loco</t>
  </si>
  <si>
    <t xml:space="preserve">      Configuração de JOBS (1 Jobs)</t>
  </si>
  <si>
    <t>      Instalação REINF</t>
  </si>
  <si>
    <t>REINF DC</t>
  </si>
  <si>
    <t>Extrato Simplificado de Horas - REINF In-Loco</t>
  </si>
  <si>
    <t>   Etapa 1 (NFS-e de Entrada In-loco) Produção</t>
  </si>
  <si>
    <t>TOTAL - Extrato Simplificado de horas InLoco</t>
  </si>
  <si>
    <t>TOTAL - Extrato Simplificado de horas Data Center</t>
  </si>
  <si>
    <t>Coordenação</t>
  </si>
  <si>
    <t>NFSe</t>
  </si>
  <si>
    <t>NFCe</t>
  </si>
  <si>
    <t>PDV</t>
  </si>
  <si>
    <t>Prod</t>
  </si>
  <si>
    <t>Concent</t>
  </si>
  <si>
    <t>Saída</t>
  </si>
  <si>
    <t>Entrada</t>
  </si>
  <si>
    <t>Agentes</t>
  </si>
  <si>
    <t>Emissão</t>
  </si>
  <si>
    <t>Conf. Conce. na Retag</t>
  </si>
  <si>
    <t>Muni WS</t>
  </si>
  <si>
    <t>Muni Pap</t>
  </si>
  <si>
    <t>Criação de JOB Entry NFe</t>
  </si>
  <si>
    <t>Criação de JOB Entry CTe</t>
  </si>
  <si>
    <t>Nº CNPJ raiz</t>
  </si>
  <si>
    <t>Etapa 1 (NFS-e de Entrada Data Center NDDigital) Produção</t>
  </si>
  <si>
    <t xml:space="preserve">   Importação de documentos Legado</t>
  </si>
  <si>
    <t xml:space="preserve">   Demandas do Projeto</t>
  </si>
  <si>
    <t xml:space="preserve">      Demandas</t>
  </si>
  <si>
    <t>30 Minutos por e-Agent</t>
  </si>
  <si>
    <t>Importação de Legado</t>
  </si>
  <si>
    <t>60 Minutos</t>
  </si>
  <si>
    <t>Demanda</t>
  </si>
  <si>
    <t xml:space="preserve">   Importação de Legado</t>
  </si>
  <si>
    <t xml:space="preserve">   Demandas Legado</t>
  </si>
  <si>
    <t xml:space="preserve">   Automação SAP</t>
  </si>
  <si>
    <t>NF-e</t>
  </si>
  <si>
    <t>MDF-e</t>
  </si>
  <si>
    <t>CT-e</t>
  </si>
  <si>
    <t>Demandas / Customização</t>
  </si>
  <si>
    <t>Etapa 2 (Entrada NFS-e e Documentos não Estruturados) Produção</t>
  </si>
  <si>
    <t>CÁLCULO DE HORAS PARA PROJETOS PEQUENOS</t>
  </si>
  <si>
    <t>Extrato Simplificado de Horas - Reinf DC</t>
  </si>
  <si>
    <t>Extrato Simplificado de Horas - Reinf In-Loco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</si>
</sst>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19" x14ac:knownFonts="1"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sz val="12"/>
      <color rgb="FF000000"/>
      <name val="Calibri"/>
      <family val="2"/>
    </font>
    <font>
      <b/>
      <sz val="11"/>
      <name val="Calibri"/>
      <family val="2"/>
    </font>
    <font>
      <b/>
      <sz val="11"/>
      <name val="Segoe UI"/>
      <family val="2"/>
    </font>
    <font>
      <sz val="11"/>
      <name val="Calibri"/>
      <family val="2"/>
      <scheme val="minor"/>
    </font>
    <font>
      <b/>
      <sz val="12"/>
      <name val="Calibri"/>
      <family val="2"/>
    </font>
    <font>
      <sz val="11"/>
      <name val="Segoe U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1"/>
      <color rgb="FFFF0000"/>
      <name val="Calibri"/>
      <family val="2"/>
      <scheme val="minor"/>
    </font>
    <font>
      <b/>
      <sz val="2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theme="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32">
    <xf numFmtId="0" fontId="0" fillId="0" borderId="0" xfId="0"/>
    <xf numFmtId="0" fontId="7" fillId="2" borderId="1" xfId="0" applyFont="1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4" fillId="6" borderId="1" xfId="0" applyFont="1" applyFill="1" applyBorder="1" applyAlignment="1">
      <alignment vertical="center" wrapText="1"/>
    </xf>
    <xf numFmtId="165" fontId="4" fillId="3" borderId="1" xfId="0" applyNumberFormat="1" applyFont="1" applyFill="1" applyBorder="1" applyAlignment="1">
      <alignment horizontal="right" vertical="center" wrapText="1"/>
    </xf>
    <xf numFmtId="0" fontId="4" fillId="7" borderId="1" xfId="0" applyFont="1" applyFill="1" applyBorder="1" applyAlignment="1">
      <alignment vertical="center" wrapText="1"/>
    </xf>
    <xf numFmtId="165" fontId="4" fillId="7" borderId="1" xfId="0" applyNumberFormat="1" applyFont="1" applyFill="1" applyBorder="1" applyAlignment="1">
      <alignment horizontal="right" vertical="center" wrapText="1"/>
    </xf>
    <xf numFmtId="0" fontId="7" fillId="4" borderId="1" xfId="0" applyFont="1" applyFill="1" applyBorder="1" applyAlignment="1">
      <alignment vertical="center" wrapText="1"/>
    </xf>
    <xf numFmtId="0" fontId="7" fillId="0" borderId="1" xfId="0" applyFont="1" applyFill="1" applyBorder="1" applyAlignment="1">
      <alignment vertical="center" wrapText="1"/>
    </xf>
    <xf numFmtId="0" fontId="9" fillId="0" borderId="0" xfId="0" applyFont="1"/>
    <xf numFmtId="0" fontId="9" fillId="7" borderId="0" xfId="0" applyFont="1" applyFill="1"/>
    <xf numFmtId="0" fontId="9" fillId="6" borderId="0" xfId="0" applyFont="1" applyFill="1"/>
    <xf numFmtId="0" fontId="9" fillId="3" borderId="0" xfId="0" applyFont="1" applyFill="1"/>
    <xf numFmtId="165" fontId="4" fillId="6" borderId="1" xfId="0" applyNumberFormat="1" applyFont="1" applyFill="1" applyBorder="1" applyAlignment="1">
      <alignment horizontal="right" vertical="center" wrapText="1"/>
    </xf>
    <xf numFmtId="165" fontId="4" fillId="3" borderId="1" xfId="0" applyNumberFormat="1" applyFont="1" applyFill="1" applyBorder="1" applyAlignment="1">
      <alignment vertical="center" wrapText="1"/>
    </xf>
    <xf numFmtId="165" fontId="4" fillId="6" borderId="1" xfId="0" applyNumberFormat="1" applyFont="1" applyFill="1" applyBorder="1" applyAlignment="1">
      <alignment vertical="center" wrapText="1"/>
    </xf>
    <xf numFmtId="1" fontId="4" fillId="3" borderId="1" xfId="0" applyNumberFormat="1" applyFont="1" applyFill="1" applyBorder="1" applyAlignment="1">
      <alignment horizontal="right" vertical="center" wrapText="1"/>
    </xf>
    <xf numFmtId="1" fontId="4" fillId="6" borderId="1" xfId="0" applyNumberFormat="1" applyFont="1" applyFill="1" applyBorder="1" applyAlignment="1">
      <alignment horizontal="right" vertical="center" wrapText="1"/>
    </xf>
    <xf numFmtId="1" fontId="4" fillId="6" borderId="1" xfId="0" applyNumberFormat="1" applyFont="1" applyFill="1" applyBorder="1" applyAlignment="1">
      <alignment vertical="center" wrapText="1"/>
    </xf>
    <xf numFmtId="0" fontId="10" fillId="2" borderId="1" xfId="0" applyFont="1" applyFill="1" applyBorder="1" applyAlignment="1">
      <alignment vertical="center" wrapText="1"/>
    </xf>
    <xf numFmtId="165" fontId="10" fillId="2" borderId="1" xfId="0" applyNumberFormat="1" applyFont="1" applyFill="1" applyBorder="1" applyAlignment="1">
      <alignment horizontal="right" vertical="center" wrapText="1"/>
    </xf>
    <xf numFmtId="0" fontId="7" fillId="6" borderId="1" xfId="0" applyFont="1" applyFill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1" fontId="4" fillId="7" borderId="1" xfId="0" applyNumberFormat="1" applyFont="1" applyFill="1" applyBorder="1" applyAlignment="1">
      <alignment vertical="center" wrapText="1"/>
    </xf>
    <xf numFmtId="165" fontId="4" fillId="7" borderId="1" xfId="0" applyNumberFormat="1" applyFont="1" applyFill="1" applyBorder="1" applyAlignment="1">
      <alignment vertical="center" wrapText="1"/>
    </xf>
    <xf numFmtId="1" fontId="7" fillId="7" borderId="1" xfId="0" applyNumberFormat="1" applyFont="1" applyFill="1" applyBorder="1" applyAlignment="1">
      <alignment vertical="center" wrapText="1"/>
    </xf>
    <xf numFmtId="165" fontId="7" fillId="7" borderId="1" xfId="0" applyNumberFormat="1" applyFont="1" applyFill="1" applyBorder="1" applyAlignment="1">
      <alignment vertical="center" wrapText="1"/>
    </xf>
    <xf numFmtId="164" fontId="7" fillId="7" borderId="1" xfId="0" applyNumberFormat="1" applyFont="1" applyFill="1" applyBorder="1" applyAlignment="1">
      <alignment vertical="center" wrapText="1"/>
    </xf>
    <xf numFmtId="165" fontId="11" fillId="6" borderId="1" xfId="0" applyNumberFormat="1" applyFont="1" applyFill="1" applyBorder="1" applyAlignment="1">
      <alignment horizontal="right" vertical="center" wrapText="1"/>
    </xf>
    <xf numFmtId="0" fontId="8" fillId="5" borderId="1" xfId="0" applyFont="1" applyFill="1" applyBorder="1" applyAlignment="1">
      <alignment vertical="center" wrapText="1"/>
    </xf>
    <xf numFmtId="0" fontId="8" fillId="5" borderId="1" xfId="0" applyFont="1" applyFill="1" applyBorder="1" applyAlignment="1">
      <alignment horizontal="right" vertical="center" wrapText="1"/>
    </xf>
    <xf numFmtId="0" fontId="10" fillId="4" borderId="1" xfId="0" applyFont="1" applyFill="1" applyBorder="1" applyAlignment="1">
      <alignment vertical="center" wrapText="1"/>
    </xf>
    <xf numFmtId="0" fontId="7" fillId="3" borderId="1" xfId="0" applyNumberFormat="1" applyFont="1" applyFill="1" applyBorder="1" applyAlignment="1">
      <alignment vertical="center" wrapText="1"/>
    </xf>
    <xf numFmtId="0" fontId="9" fillId="0" borderId="0" xfId="0" applyNumberFormat="1" applyFont="1"/>
    <xf numFmtId="2" fontId="7" fillId="7" borderId="1" xfId="0" applyNumberFormat="1" applyFont="1" applyFill="1" applyBorder="1" applyAlignment="1">
      <alignment vertical="center" wrapText="1"/>
    </xf>
    <xf numFmtId="0" fontId="7" fillId="5" borderId="1" xfId="0" applyFont="1" applyFill="1" applyBorder="1" applyAlignment="1">
      <alignment vertical="center" wrapText="1"/>
    </xf>
    <xf numFmtId="0" fontId="7" fillId="5" borderId="1" xfId="0" applyNumberFormat="1" applyFont="1" applyFill="1" applyBorder="1" applyAlignment="1">
      <alignment vertical="center" wrapText="1"/>
    </xf>
    <xf numFmtId="0" fontId="4" fillId="2" borderId="1" xfId="0" applyFont="1" applyFill="1" applyBorder="1" applyAlignment="1">
      <alignment vertical="center" wrapText="1"/>
    </xf>
    <xf numFmtId="0" fontId="12" fillId="0" borderId="0" xfId="0" applyFont="1"/>
    <xf numFmtId="165" fontId="4" fillId="2" borderId="1" xfId="0" applyNumberFormat="1" applyFont="1" applyFill="1" applyBorder="1" applyAlignment="1">
      <alignment vertical="center" wrapText="1"/>
    </xf>
    <xf numFmtId="165" fontId="10" fillId="4" borderId="1" xfId="0" applyNumberFormat="1" applyFont="1" applyFill="1" applyBorder="1" applyAlignment="1">
      <alignment horizontal="right" vertical="center" wrapText="1"/>
    </xf>
    <xf numFmtId="165" fontId="8" fillId="4" borderId="1" xfId="0" applyNumberFormat="1" applyFont="1" applyFill="1" applyBorder="1" applyAlignment="1">
      <alignment horizontal="right" vertical="center" wrapText="1"/>
    </xf>
    <xf numFmtId="0" fontId="10" fillId="2" borderId="1" xfId="0" applyFont="1" applyFill="1" applyBorder="1" applyAlignment="1">
      <alignment horizontal="right" vertical="center" wrapText="1"/>
    </xf>
    <xf numFmtId="0" fontId="13" fillId="2" borderId="1" xfId="0" applyFont="1" applyFill="1" applyBorder="1" applyAlignment="1">
      <alignment vertical="center" wrapText="1"/>
    </xf>
    <xf numFmtId="0" fontId="4" fillId="2" borderId="1" xfId="0" applyFont="1" applyFill="1" applyBorder="1" applyAlignment="1">
      <alignment horizontal="left" vertical="center" wrapText="1" indent="1"/>
    </xf>
    <xf numFmtId="1" fontId="13" fillId="2" borderId="1" xfId="0" applyNumberFormat="1" applyFont="1" applyFill="1" applyBorder="1" applyAlignment="1">
      <alignment vertical="center" wrapText="1"/>
    </xf>
    <xf numFmtId="165" fontId="7" fillId="4" borderId="1" xfId="0" applyNumberFormat="1" applyFont="1" applyFill="1" applyBorder="1" applyAlignment="1">
      <alignment horizontal="right" vertical="center" wrapText="1"/>
    </xf>
    <xf numFmtId="0" fontId="0" fillId="0" borderId="0" xfId="0" applyFont="1"/>
    <xf numFmtId="0" fontId="7" fillId="3" borderId="1" xfId="0" applyFont="1" applyFill="1" applyBorder="1" applyAlignment="1">
      <alignment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4" fillId="3" borderId="1" xfId="0" applyFont="1" applyFill="1" applyBorder="1" applyAlignment="1">
      <alignment horizontal="left" vertical="center" wrapText="1" indent="2"/>
    </xf>
    <xf numFmtId="0" fontId="4" fillId="6" borderId="1" xfId="0" applyFont="1" applyFill="1" applyBorder="1" applyAlignment="1">
      <alignment horizontal="left" vertical="center" wrapText="1" indent="2"/>
    </xf>
    <xf numFmtId="0" fontId="7" fillId="4" borderId="1" xfId="0" applyFont="1" applyFill="1" applyBorder="1" applyAlignment="1">
      <alignment horizontal="left" vertical="center" wrapText="1" indent="1"/>
    </xf>
    <xf numFmtId="0" fontId="7" fillId="4" borderId="1" xfId="0" applyFont="1" applyFill="1" applyBorder="1" applyAlignment="1">
      <alignment horizontal="left" vertical="center" wrapText="1"/>
    </xf>
    <xf numFmtId="0" fontId="14" fillId="0" borderId="0" xfId="0" applyFont="1"/>
    <xf numFmtId="165" fontId="13" fillId="2" borderId="1" xfId="0" applyNumberFormat="1" applyFont="1" applyFill="1" applyBorder="1" applyAlignment="1">
      <alignment vertical="center" wrapText="1"/>
    </xf>
    <xf numFmtId="0" fontId="3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Font="1" applyAlignment="1"/>
    <xf numFmtId="0" fontId="0" fillId="0" borderId="0" xfId="0" applyAlignment="1"/>
    <xf numFmtId="0" fontId="4" fillId="2" borderId="1" xfId="0" applyFont="1" applyFill="1" applyBorder="1" applyAlignment="1">
      <alignment vertical="center"/>
    </xf>
    <xf numFmtId="165" fontId="4" fillId="2" borderId="1" xfId="0" applyNumberFormat="1" applyFont="1" applyFill="1" applyBorder="1" applyAlignment="1">
      <alignment vertical="center"/>
    </xf>
    <xf numFmtId="0" fontId="3" fillId="2" borderId="1" xfId="0" applyFont="1" applyFill="1" applyBorder="1" applyAlignment="1">
      <alignment horizontal="left" vertical="center"/>
    </xf>
    <xf numFmtId="0" fontId="9" fillId="0" borderId="0" xfId="0" applyFont="1" applyAlignment="1"/>
    <xf numFmtId="0" fontId="4" fillId="2" borderId="1" xfId="0" applyFont="1" applyFill="1" applyBorder="1" applyAlignment="1">
      <alignment horizontal="left" vertical="center" indent="1"/>
    </xf>
    <xf numFmtId="165" fontId="1" fillId="2" borderId="1" xfId="0" applyNumberFormat="1" applyFont="1" applyFill="1" applyBorder="1" applyAlignment="1">
      <alignment horizontal="right" vertical="center"/>
    </xf>
    <xf numFmtId="165" fontId="13" fillId="2" borderId="1" xfId="0" applyNumberFormat="1" applyFont="1" applyFill="1" applyBorder="1" applyAlignment="1">
      <alignment vertical="center"/>
    </xf>
    <xf numFmtId="0" fontId="9" fillId="0" borderId="2" xfId="1" applyFont="1" applyBorder="1" applyAlignment="1">
      <alignment wrapText="1"/>
    </xf>
    <xf numFmtId="0" fontId="9" fillId="0" borderId="3" xfId="1" applyFont="1" applyBorder="1" applyAlignment="1">
      <alignment wrapText="1"/>
    </xf>
    <xf numFmtId="0" fontId="7" fillId="3" borderId="1" xfId="0" applyNumberFormat="1" applyFont="1" applyFill="1" applyBorder="1" applyAlignment="1">
      <alignment horizontal="left" vertical="center" wrapText="1" indent="2"/>
    </xf>
    <xf numFmtId="0" fontId="3" fillId="0" borderId="1" xfId="0" applyFont="1" applyFill="1" applyBorder="1" applyAlignment="1">
      <alignment vertical="center" wrapText="1"/>
    </xf>
    <xf numFmtId="165" fontId="3" fillId="5" borderId="1" xfId="0" applyNumberFormat="1" applyFont="1" applyFill="1" applyBorder="1" applyAlignment="1">
      <alignment horizontal="right" vertical="center" wrapText="1"/>
    </xf>
    <xf numFmtId="0" fontId="3" fillId="0" borderId="6" xfId="0" applyFont="1" applyFill="1" applyBorder="1" applyAlignment="1">
      <alignment vertical="center" wrapText="1"/>
    </xf>
    <xf numFmtId="165" fontId="3" fillId="5" borderId="6" xfId="0" applyNumberFormat="1" applyFont="1" applyFill="1" applyBorder="1" applyAlignment="1">
      <alignment horizontal="right" vertical="center" wrapText="1"/>
    </xf>
    <xf numFmtId="0" fontId="2" fillId="5" borderId="5" xfId="0" applyFont="1" applyFill="1" applyBorder="1" applyAlignment="1">
      <alignment vertical="center" wrapText="1"/>
    </xf>
    <xf numFmtId="165" fontId="2" fillId="5" borderId="5" xfId="0" applyNumberFormat="1" applyFont="1" applyFill="1" applyBorder="1" applyAlignment="1">
      <alignment horizontal="right" vertical="center" wrapText="1"/>
    </xf>
    <xf numFmtId="0" fontId="2" fillId="2" borderId="6" xfId="0" applyFont="1" applyFill="1" applyBorder="1" applyAlignment="1">
      <alignment vertical="center"/>
    </xf>
    <xf numFmtId="0" fontId="8" fillId="5" borderId="5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 wrapText="1"/>
    </xf>
    <xf numFmtId="0" fontId="8" fillId="5" borderId="5" xfId="0" applyFont="1" applyFill="1" applyBorder="1" applyAlignment="1">
      <alignment vertical="center" wrapText="1"/>
    </xf>
    <xf numFmtId="0" fontId="7" fillId="2" borderId="6" xfId="0" applyFont="1" applyFill="1" applyBorder="1" applyAlignment="1">
      <alignment vertical="center"/>
    </xf>
    <xf numFmtId="165" fontId="3" fillId="5" borderId="6" xfId="0" applyNumberFormat="1" applyFont="1" applyFill="1" applyBorder="1" applyAlignment="1">
      <alignment vertical="center"/>
    </xf>
    <xf numFmtId="165" fontId="3" fillId="5" borderId="1" xfId="0" applyNumberFormat="1" applyFont="1" applyFill="1" applyBorder="1" applyAlignment="1">
      <alignment vertical="center"/>
    </xf>
    <xf numFmtId="165" fontId="6" fillId="2" borderId="1" xfId="0" applyNumberFormat="1" applyFont="1" applyFill="1" applyBorder="1" applyAlignment="1">
      <alignment horizontal="right" vertical="center"/>
    </xf>
    <xf numFmtId="165" fontId="10" fillId="5" borderId="6" xfId="0" applyNumberFormat="1" applyFont="1" applyFill="1" applyBorder="1" applyAlignment="1">
      <alignment horizontal="right" vertical="center"/>
    </xf>
    <xf numFmtId="165" fontId="10" fillId="5" borderId="6" xfId="0" applyNumberFormat="1" applyFont="1" applyFill="1" applyBorder="1" applyAlignment="1">
      <alignment horizontal="right" vertical="center" wrapText="1"/>
    </xf>
    <xf numFmtId="165" fontId="1" fillId="5" borderId="6" xfId="0" applyNumberFormat="1" applyFont="1" applyFill="1" applyBorder="1" applyAlignment="1">
      <alignment horizontal="right" vertical="center"/>
    </xf>
    <xf numFmtId="0" fontId="0" fillId="0" borderId="0" xfId="0" applyFont="1" applyAlignment="1">
      <alignment wrapText="1"/>
    </xf>
    <xf numFmtId="1" fontId="0" fillId="0" borderId="0" xfId="0" applyNumberFormat="1" applyFont="1" applyAlignment="1">
      <alignment wrapText="1"/>
    </xf>
    <xf numFmtId="0" fontId="16" fillId="9" borderId="7" xfId="0" applyFont="1" applyFill="1" applyBorder="1" applyAlignment="1">
      <alignment horizontal="center" vertical="center" wrapText="1"/>
    </xf>
    <xf numFmtId="0" fontId="17" fillId="0" borderId="9" xfId="0" applyFont="1" applyBorder="1" applyAlignment="1">
      <alignment wrapText="1"/>
    </xf>
    <xf numFmtId="0" fontId="16" fillId="9" borderId="12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wrapText="1"/>
    </xf>
    <xf numFmtId="0" fontId="17" fillId="0" borderId="7" xfId="0" applyFont="1" applyFill="1" applyBorder="1" applyAlignment="1">
      <alignment wrapText="1"/>
    </xf>
    <xf numFmtId="0" fontId="18" fillId="0" borderId="0" xfId="0" applyFont="1"/>
    <xf numFmtId="0" fontId="16" fillId="9" borderId="9" xfId="0" applyFont="1" applyFill="1" applyBorder="1" applyAlignment="1">
      <alignment horizontal="center" vertical="center"/>
    </xf>
    <xf numFmtId="0" fontId="16" fillId="9" borderId="7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wrapText="1"/>
    </xf>
    <xf numFmtId="0" fontId="0" fillId="0" borderId="9" xfId="0" applyFont="1" applyBorder="1" applyAlignment="1">
      <alignment horizontal="center" wrapText="1"/>
    </xf>
    <xf numFmtId="0" fontId="0" fillId="0" borderId="7" xfId="0" applyFont="1" applyFill="1" applyBorder="1" applyAlignment="1">
      <alignment horizontal="center" wrapText="1"/>
    </xf>
    <xf numFmtId="0" fontId="4" fillId="7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left" vertical="center" indent="1"/>
    </xf>
    <xf numFmtId="165" fontId="4" fillId="2" borderId="0" xfId="0" applyNumberFormat="1" applyFont="1" applyFill="1" applyBorder="1" applyAlignment="1">
      <alignment vertical="center"/>
    </xf>
    <xf numFmtId="0" fontId="5" fillId="0" borderId="2" xfId="1" applyBorder="1" applyAlignment="1">
      <alignment horizontal="center" wrapText="1"/>
    </xf>
    <xf numFmtId="0" fontId="5" fillId="0" borderId="3" xfId="1" applyBorder="1" applyAlignment="1">
      <alignment horizontal="center" wrapText="1"/>
    </xf>
    <xf numFmtId="0" fontId="5" fillId="0" borderId="1" xfId="1" applyBorder="1" applyAlignment="1">
      <alignment horizontal="center"/>
    </xf>
    <xf numFmtId="0" fontId="8" fillId="5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16" fillId="9" borderId="9" xfId="0" applyFont="1" applyFill="1" applyBorder="1" applyAlignment="1">
      <alignment horizontal="center" vertical="center" wrapText="1"/>
    </xf>
    <xf numFmtId="0" fontId="16" fillId="9" borderId="8" xfId="0" applyFont="1" applyFill="1" applyBorder="1" applyAlignment="1">
      <alignment horizontal="center" vertical="center" wrapText="1"/>
    </xf>
    <xf numFmtId="0" fontId="0" fillId="0" borderId="9" xfId="0" applyFont="1" applyFill="1" applyBorder="1" applyAlignment="1">
      <alignment horizontal="center" wrapText="1"/>
    </xf>
    <xf numFmtId="0" fontId="0" fillId="0" borderId="8" xfId="0" applyFont="1" applyFill="1" applyBorder="1" applyAlignment="1">
      <alignment horizontal="center" wrapText="1"/>
    </xf>
    <xf numFmtId="0" fontId="0" fillId="0" borderId="7" xfId="0" applyFont="1" applyFill="1" applyBorder="1" applyAlignment="1">
      <alignment horizontal="center" wrapText="1"/>
    </xf>
    <xf numFmtId="0" fontId="15" fillId="8" borderId="0" xfId="0" applyFont="1" applyFill="1" applyAlignment="1">
      <alignment horizont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 wrapText="1"/>
    </xf>
    <xf numFmtId="0" fontId="0" fillId="0" borderId="15" xfId="0" applyFont="1" applyFill="1" applyBorder="1" applyAlignment="1">
      <alignment horizontal="center" vertical="center" wrapText="1"/>
    </xf>
    <xf numFmtId="0" fontId="0" fillId="0" borderId="10" xfId="0" applyFont="1" applyFill="1" applyBorder="1" applyAlignment="1">
      <alignment horizontal="center" vertical="center" wrapText="1"/>
    </xf>
    <xf numFmtId="0" fontId="0" fillId="0" borderId="13" xfId="0" applyFont="1" applyFill="1" applyBorder="1" applyAlignment="1">
      <alignment horizontal="center" vertical="center" wrapText="1"/>
    </xf>
    <xf numFmtId="0" fontId="0" fillId="0" borderId="14" xfId="0" applyFont="1" applyFill="1" applyBorder="1" applyAlignment="1">
      <alignment horizontal="center" vertical="center" wrapText="1"/>
    </xf>
    <xf numFmtId="0" fontId="0" fillId="0" borderId="9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12</xdr:row>
          <xdr:rowOff>152400</xdr:rowOff>
        </xdr:from>
        <xdr:to>
          <xdr:col>11</xdr:col>
          <xdr:colOff>247650</xdr:colOff>
          <xdr:row>13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e-Forms In-Loco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495300</xdr:colOff>
          <xdr:row>12</xdr:row>
          <xdr:rowOff>142875</xdr:rowOff>
        </xdr:from>
        <xdr:to>
          <xdr:col>14</xdr:col>
          <xdr:colOff>28575</xdr:colOff>
          <xdr:row>13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e-Forms DC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13</xdr:row>
          <xdr:rowOff>142875</xdr:rowOff>
        </xdr:from>
        <xdr:to>
          <xdr:col>11</xdr:col>
          <xdr:colOff>247650</xdr:colOff>
          <xdr:row>14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NFS-e Entrada In-Loco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495300</xdr:colOff>
          <xdr:row>13</xdr:row>
          <xdr:rowOff>133350</xdr:rowOff>
        </xdr:from>
        <xdr:to>
          <xdr:col>14</xdr:col>
          <xdr:colOff>28575</xdr:colOff>
          <xdr:row>14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NFS-e Entrada DC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14</xdr:row>
          <xdr:rowOff>142875</xdr:rowOff>
        </xdr:from>
        <xdr:to>
          <xdr:col>11</xdr:col>
          <xdr:colOff>247650</xdr:colOff>
          <xdr:row>15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NFS-e Emissão In-Loco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495300</xdr:colOff>
          <xdr:row>14</xdr:row>
          <xdr:rowOff>133350</xdr:rowOff>
        </xdr:from>
        <xdr:to>
          <xdr:col>14</xdr:col>
          <xdr:colOff>28575</xdr:colOff>
          <xdr:row>15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NFS-e Emissão DC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16</xdr:row>
          <xdr:rowOff>0</xdr:rowOff>
        </xdr:from>
        <xdr:to>
          <xdr:col>11</xdr:col>
          <xdr:colOff>247650</xdr:colOff>
          <xdr:row>17</xdr:row>
          <xdr:rowOff>47625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REINF In-Loco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495300</xdr:colOff>
          <xdr:row>16</xdr:row>
          <xdr:rowOff>19050</xdr:rowOff>
        </xdr:from>
        <xdr:to>
          <xdr:col>14</xdr:col>
          <xdr:colOff>28575</xdr:colOff>
          <xdr:row>17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REINF DC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17</xdr:row>
          <xdr:rowOff>76200</xdr:rowOff>
        </xdr:from>
        <xdr:to>
          <xdr:col>11</xdr:col>
          <xdr:colOff>247650</xdr:colOff>
          <xdr:row>18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NFCe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19</xdr:row>
          <xdr:rowOff>0</xdr:rowOff>
        </xdr:from>
        <xdr:to>
          <xdr:col>11</xdr:col>
          <xdr:colOff>247650</xdr:colOff>
          <xdr:row>21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In Loco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485775</xdr:colOff>
          <xdr:row>19</xdr:row>
          <xdr:rowOff>0</xdr:rowOff>
        </xdr:from>
        <xdr:to>
          <xdr:col>14</xdr:col>
          <xdr:colOff>28575</xdr:colOff>
          <xdr:row>21</xdr:row>
          <xdr:rowOff>38100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57150</xdr:rowOff>
        </xdr:from>
        <xdr:to>
          <xdr:col>11</xdr:col>
          <xdr:colOff>38100</xdr:colOff>
          <xdr:row>0</xdr:row>
          <xdr:rowOff>295275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valores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409575</xdr:colOff>
      <xdr:row>12</xdr:row>
      <xdr:rowOff>123825</xdr:rowOff>
    </xdr:from>
    <xdr:to>
      <xdr:col>11</xdr:col>
      <xdr:colOff>409575</xdr:colOff>
      <xdr:row>21</xdr:row>
      <xdr:rowOff>25125</xdr:rowOff>
    </xdr:to>
    <xdr:cxnSp macro="">
      <xdr:nvCxnSpPr>
        <xdr:cNvPr id="3" name="Conector reto 2"/>
        <xdr:cNvCxnSpPr/>
      </xdr:nvCxnSpPr>
      <xdr:spPr>
        <a:xfrm>
          <a:off x="12668250" y="2619375"/>
          <a:ext cx="0" cy="1672950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495300</xdr:colOff>
          <xdr:row>17</xdr:row>
          <xdr:rowOff>76200</xdr:rowOff>
        </xdr:from>
        <xdr:to>
          <xdr:col>14</xdr:col>
          <xdr:colOff>28575</xdr:colOff>
          <xdr:row>18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NDDConnect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57150</xdr:rowOff>
        </xdr:from>
        <xdr:to>
          <xdr:col>11</xdr:col>
          <xdr:colOff>38100</xdr:colOff>
          <xdr:row>0</xdr:row>
          <xdr:rowOff>295275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valores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enus\NDDigital\NDDigital\Prevendas\Documentos%20eletr&#244;nicos\Modelos%20Doc.%20para%20Projetos\PT\Modelos%20de%20PT%20-%20NDD\Planilhas%20Calculo%20Horas\Projetos%20M&#233;dios%20e%20Grandes%20-%20Pr&#233;-Vendas%20e%20Servi&#231;os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Lista"/>
      <sheetName val="e-Forms In-Loco"/>
      <sheetName val="e-Forms DC"/>
      <sheetName val="NFS-e Entr. In-loco"/>
      <sheetName val="NFS-e Entr. DC"/>
      <sheetName val="NFS-e Emiss. In-Loco"/>
      <sheetName val="NFS-e Emiss. DC"/>
      <sheetName val="REINF In-Loco"/>
      <sheetName val="REINF DC"/>
      <sheetName val="NFC-e In-Loco"/>
      <sheetName val="NFC-e DC"/>
      <sheetName val="nddConnect"/>
      <sheetName val="Projetos Médios e Grandes - Pré"/>
    </sheetNames>
    <definedNames>
      <definedName name="Macro2"/>
    </definedNames>
    <sheetDataSet>
      <sheetData sheetId="0">
        <row r="4">
          <cell r="K4"/>
          <cell r="M4"/>
        </row>
        <row r="6">
          <cell r="K6"/>
          <cell r="M6"/>
        </row>
        <row r="8">
          <cell r="M8"/>
          <cell r="N8"/>
        </row>
        <row r="12">
          <cell r="K12"/>
          <cell r="L1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O66"/>
  <sheetViews>
    <sheetView showGridLines="0" topLeftCell="C1" zoomScale="90" zoomScaleNormal="90" workbookViewId="0">
      <selection activeCell="E61" sqref="E61"/>
    </sheetView>
  </sheetViews>
  <sheetFormatPr defaultColWidth="45.5703125" defaultRowHeight="15" x14ac:dyDescent="0.25"/>
  <cols>
    <col min="1" max="1" width="21" style="58" hidden="1" customWidth="1"/>
    <col min="2" max="2" width="10.140625" style="58" hidden="1" customWidth="1"/>
    <col min="3" max="3" width="1.28515625" style="58" customWidth="1"/>
    <col min="4" max="4" width="61.7109375" style="58" customWidth="1"/>
    <col min="5" max="5" width="19.7109375" style="58" bestFit="1" customWidth="1"/>
    <col min="6" max="6" width="1.85546875" style="47" customWidth="1"/>
    <col min="7" max="7" width="60.42578125" style="47" bestFit="1" customWidth="1"/>
    <col min="8" max="8" width="19.7109375" style="47" bestFit="1" customWidth="1"/>
    <col min="9" max="9" width="2.5703125" style="47" customWidth="1"/>
    <col min="10" max="10" width="7.42578125" style="88" customWidth="1"/>
    <col min="11" max="11" width="9.140625" style="88" bestFit="1" customWidth="1"/>
    <col min="12" max="12" width="10.140625" style="88" customWidth="1"/>
    <col min="13" max="13" width="8.7109375" style="88" customWidth="1"/>
    <col min="14" max="14" width="8.42578125" style="88" customWidth="1"/>
    <col min="15" max="15" width="7.140625" style="88" customWidth="1"/>
    <col min="16" max="16384" width="45.5703125" style="47"/>
  </cols>
  <sheetData>
    <row r="1" spans="1:15" ht="26.25" x14ac:dyDescent="0.4">
      <c r="A1" s="116" t="s">
        <v>170</v>
      </c>
      <c r="B1" s="116"/>
      <c r="C1" s="116"/>
      <c r="D1" s="116"/>
      <c r="E1" s="116"/>
      <c r="F1" s="116"/>
      <c r="G1" s="116"/>
      <c r="H1" s="116"/>
    </row>
    <row r="2" spans="1:15" ht="15" customHeight="1" x14ac:dyDescent="0.25">
      <c r="J2" s="93"/>
      <c r="K2" s="115" t="s">
        <v>145</v>
      </c>
      <c r="L2" s="115"/>
      <c r="M2" s="113" t="s">
        <v>144</v>
      </c>
      <c r="N2" s="114"/>
    </row>
    <row r="3" spans="1:15" ht="16.5" x14ac:dyDescent="0.25">
      <c r="A3" s="109" t="s">
        <v>43</v>
      </c>
      <c r="B3" s="109"/>
      <c r="D3" s="117" t="s">
        <v>136</v>
      </c>
      <c r="E3" s="118"/>
      <c r="G3" s="117" t="s">
        <v>137</v>
      </c>
      <c r="H3" s="118"/>
      <c r="J3" s="90" t="s">
        <v>142</v>
      </c>
      <c r="K3" s="111" t="s">
        <v>153</v>
      </c>
      <c r="L3" s="112"/>
      <c r="M3" s="90" t="s">
        <v>147</v>
      </c>
      <c r="N3" s="90" t="s">
        <v>146</v>
      </c>
      <c r="O3" s="47"/>
    </row>
    <row r="4" spans="1:15" ht="17.25" thickBot="1" x14ac:dyDescent="0.3">
      <c r="A4" s="110"/>
      <c r="B4" s="110"/>
      <c r="D4" s="77" t="s">
        <v>11</v>
      </c>
      <c r="E4" s="77" t="s">
        <v>12</v>
      </c>
      <c r="G4" s="77" t="s">
        <v>11</v>
      </c>
      <c r="H4" s="77" t="s">
        <v>12</v>
      </c>
      <c r="J4" s="94" t="s">
        <v>165</v>
      </c>
      <c r="K4" s="124">
        <v>1</v>
      </c>
      <c r="L4" s="125"/>
      <c r="M4" s="100"/>
      <c r="N4" s="119"/>
      <c r="O4" s="47"/>
    </row>
    <row r="5" spans="1:15" ht="16.5" x14ac:dyDescent="0.25">
      <c r="A5" s="109" t="s">
        <v>50</v>
      </c>
      <c r="B5" s="109"/>
      <c r="D5" s="76" t="s">
        <v>29</v>
      </c>
      <c r="E5" s="82">
        <f>SUM(E6:E11)</f>
        <v>83</v>
      </c>
      <c r="G5" s="76" t="s">
        <v>29</v>
      </c>
      <c r="H5" s="82">
        <f>SUM(H6:H11)</f>
        <v>0</v>
      </c>
      <c r="J5" s="94" t="s">
        <v>166</v>
      </c>
      <c r="K5" s="124"/>
      <c r="L5" s="125"/>
      <c r="M5" s="100"/>
      <c r="N5" s="120"/>
      <c r="O5" s="47"/>
    </row>
    <row r="6" spans="1:15" x14ac:dyDescent="0.25">
      <c r="A6" s="108" t="s">
        <v>28</v>
      </c>
      <c r="B6" s="108"/>
      <c r="D6" s="62" t="s">
        <v>114</v>
      </c>
      <c r="E6" s="83">
        <f>E60</f>
        <v>8</v>
      </c>
      <c r="G6" s="62" t="s">
        <v>114</v>
      </c>
      <c r="H6" s="83">
        <f>H60</f>
        <v>0</v>
      </c>
      <c r="J6" s="94" t="s">
        <v>167</v>
      </c>
      <c r="K6" s="122">
        <v>1</v>
      </c>
      <c r="L6" s="123"/>
      <c r="M6" s="100"/>
      <c r="N6" s="121"/>
      <c r="O6" s="47"/>
    </row>
    <row r="7" spans="1:15" x14ac:dyDescent="0.25">
      <c r="A7" s="108" t="s">
        <v>72</v>
      </c>
      <c r="B7" s="108"/>
      <c r="D7" s="62" t="s">
        <v>115</v>
      </c>
      <c r="E7" s="83">
        <f>SUM(E53,E16,E26,E36,E45)</f>
        <v>24</v>
      </c>
      <c r="G7" s="62" t="s">
        <v>115</v>
      </c>
      <c r="H7" s="83">
        <f>SUM(H16,H26,H36,H45)</f>
        <v>0</v>
      </c>
      <c r="J7" s="92"/>
      <c r="K7" s="90" t="s">
        <v>149</v>
      </c>
      <c r="L7" s="90" t="s">
        <v>150</v>
      </c>
      <c r="M7" s="90" t="s">
        <v>147</v>
      </c>
      <c r="N7" s="90" t="s">
        <v>146</v>
      </c>
      <c r="O7" s="47"/>
    </row>
    <row r="8" spans="1:15" x14ac:dyDescent="0.25">
      <c r="A8" s="106" t="s">
        <v>108</v>
      </c>
      <c r="B8" s="107"/>
      <c r="D8" s="62" t="s">
        <v>116</v>
      </c>
      <c r="E8" s="83">
        <f>SUM(E54,E17,E37,E46)</f>
        <v>29</v>
      </c>
      <c r="G8" s="62" t="s">
        <v>116</v>
      </c>
      <c r="H8" s="83">
        <f>SUM(H17,H37,H46)</f>
        <v>0</v>
      </c>
      <c r="J8" s="94" t="s">
        <v>139</v>
      </c>
      <c r="K8" s="100"/>
      <c r="L8" s="100"/>
      <c r="M8" s="100"/>
      <c r="N8" s="100"/>
    </row>
    <row r="9" spans="1:15" x14ac:dyDescent="0.25">
      <c r="A9" s="106" t="s">
        <v>110</v>
      </c>
      <c r="B9" s="107"/>
      <c r="D9" s="62" t="s">
        <v>117</v>
      </c>
      <c r="E9" s="83">
        <f>SUM(E55,E18,E27,E28,E29,E38,E47)</f>
        <v>22</v>
      </c>
      <c r="G9" s="62" t="s">
        <v>117</v>
      </c>
      <c r="H9" s="83">
        <f>SUM(H18,H27,H28,H29,H38,H47,H53)</f>
        <v>0</v>
      </c>
    </row>
    <row r="10" spans="1:15" x14ac:dyDescent="0.25">
      <c r="A10" s="108" t="s">
        <v>85</v>
      </c>
      <c r="B10" s="108"/>
      <c r="D10" s="62" t="s">
        <v>168</v>
      </c>
      <c r="E10" s="83">
        <f>SUM(E19,E30,E39,E56)</f>
        <v>0</v>
      </c>
      <c r="F10" s="88"/>
      <c r="G10" s="62" t="s">
        <v>168</v>
      </c>
      <c r="H10" s="83">
        <f>SUM(H19,H30,H39,H54)</f>
        <v>0</v>
      </c>
    </row>
    <row r="11" spans="1:15" ht="15" customHeight="1" x14ac:dyDescent="0.25">
      <c r="A11" s="106" t="s">
        <v>109</v>
      </c>
      <c r="B11" s="107"/>
      <c r="D11" s="62" t="s">
        <v>159</v>
      </c>
      <c r="E11" s="83">
        <f>SUM(E20,E31,E40,E48,E57)</f>
        <v>0</v>
      </c>
      <c r="G11" s="62" t="s">
        <v>159</v>
      </c>
      <c r="H11" s="83">
        <f>SUM(H20,H31,H40,H48)</f>
        <v>0</v>
      </c>
      <c r="J11" s="92" t="s">
        <v>142</v>
      </c>
      <c r="K11" s="92" t="s">
        <v>141</v>
      </c>
      <c r="L11" s="92" t="s">
        <v>143</v>
      </c>
      <c r="M11" s="97" t="s">
        <v>148</v>
      </c>
      <c r="N11" s="97"/>
      <c r="O11" s="96"/>
    </row>
    <row r="12" spans="1:15" ht="15" customHeight="1" x14ac:dyDescent="0.25">
      <c r="A12" s="106" t="s">
        <v>111</v>
      </c>
      <c r="B12" s="107"/>
      <c r="E12" s="59"/>
      <c r="F12" s="47" t="s">
        <v>44</v>
      </c>
      <c r="J12" s="91" t="s">
        <v>140</v>
      </c>
      <c r="K12" s="99"/>
      <c r="L12" s="99"/>
      <c r="M12" s="98"/>
      <c r="N12" s="98"/>
      <c r="O12" s="99"/>
    </row>
    <row r="13" spans="1:15" ht="16.5" customHeight="1" x14ac:dyDescent="0.25">
      <c r="A13" s="106" t="s">
        <v>138</v>
      </c>
      <c r="B13" s="107"/>
      <c r="D13" s="117" t="s">
        <v>89</v>
      </c>
      <c r="E13" s="118"/>
      <c r="G13" s="117" t="s">
        <v>90</v>
      </c>
      <c r="H13" s="118"/>
    </row>
    <row r="14" spans="1:15" ht="17.25" thickBot="1" x14ac:dyDescent="0.3">
      <c r="D14" s="77" t="s">
        <v>11</v>
      </c>
      <c r="E14" s="77" t="s">
        <v>12</v>
      </c>
      <c r="G14" s="77" t="s">
        <v>11</v>
      </c>
      <c r="H14" s="77" t="s">
        <v>12</v>
      </c>
      <c r="O14" s="47"/>
    </row>
    <row r="15" spans="1:15" ht="15.75" x14ac:dyDescent="0.25">
      <c r="D15" s="78" t="s">
        <v>29</v>
      </c>
      <c r="E15" s="85">
        <f>'e-Forms In-Loco'!E13</f>
        <v>24</v>
      </c>
      <c r="G15" s="78" t="s">
        <v>29</v>
      </c>
      <c r="H15" s="85">
        <f>SUM(H16:H20)</f>
        <v>0</v>
      </c>
      <c r="O15" s="47"/>
    </row>
    <row r="16" spans="1:15" ht="15.75" x14ac:dyDescent="0.25">
      <c r="D16" s="60" t="s">
        <v>17</v>
      </c>
      <c r="E16" s="85">
        <f>'e-Forms In-Loco'!B5</f>
        <v>24</v>
      </c>
      <c r="G16" s="60" t="s">
        <v>17</v>
      </c>
      <c r="H16" s="61"/>
      <c r="O16" s="47"/>
    </row>
    <row r="17" spans="3:15" ht="15.75" x14ac:dyDescent="0.25">
      <c r="D17" s="60" t="s">
        <v>19</v>
      </c>
      <c r="E17" s="85">
        <f>'e-Forms In-Loco'!B6</f>
        <v>29</v>
      </c>
      <c r="G17" s="60" t="s">
        <v>19</v>
      </c>
      <c r="H17" s="61"/>
      <c r="O17" s="47"/>
    </row>
    <row r="18" spans="3:15" x14ac:dyDescent="0.25">
      <c r="D18" s="60" t="s">
        <v>25</v>
      </c>
      <c r="E18" s="61">
        <f>'e-Forms In-Loco'!B12</f>
        <v>22</v>
      </c>
      <c r="G18" s="60" t="s">
        <v>25</v>
      </c>
      <c r="H18" s="61"/>
      <c r="O18" s="47"/>
    </row>
    <row r="19" spans="3:15" x14ac:dyDescent="0.25">
      <c r="D19" s="103" t="s">
        <v>168</v>
      </c>
      <c r="E19" s="61"/>
      <c r="G19" s="103" t="s">
        <v>168</v>
      </c>
      <c r="H19" s="61"/>
    </row>
    <row r="20" spans="3:15" x14ac:dyDescent="0.25">
      <c r="D20" s="103" t="s">
        <v>159</v>
      </c>
      <c r="E20" s="61"/>
      <c r="G20" s="103" t="s">
        <v>159</v>
      </c>
      <c r="H20" s="61"/>
    </row>
    <row r="21" spans="3:15" x14ac:dyDescent="0.25">
      <c r="C21" s="63"/>
      <c r="E21" s="88"/>
      <c r="H21" s="88"/>
    </row>
    <row r="22" spans="3:15" ht="16.5" x14ac:dyDescent="0.25">
      <c r="C22" s="63"/>
      <c r="D22" s="128" t="s">
        <v>106</v>
      </c>
      <c r="E22" s="128"/>
      <c r="G22" s="117" t="s">
        <v>105</v>
      </c>
      <c r="H22" s="118"/>
    </row>
    <row r="23" spans="3:15" ht="17.25" thickBot="1" x14ac:dyDescent="0.3">
      <c r="D23" s="80" t="s">
        <v>11</v>
      </c>
      <c r="E23" s="80" t="s">
        <v>12</v>
      </c>
      <c r="G23" s="77" t="s">
        <v>11</v>
      </c>
      <c r="H23" s="77" t="s">
        <v>12</v>
      </c>
    </row>
    <row r="24" spans="3:15" ht="15.75" x14ac:dyDescent="0.25">
      <c r="D24" s="79" t="s">
        <v>45</v>
      </c>
      <c r="E24" s="86">
        <f>SUM(E26:E31)</f>
        <v>0</v>
      </c>
      <c r="G24" s="76" t="s">
        <v>45</v>
      </c>
      <c r="H24" s="87">
        <f>SUM(H26:H31)</f>
        <v>0</v>
      </c>
    </row>
    <row r="25" spans="3:15" ht="15.75" x14ac:dyDescent="0.25">
      <c r="D25" s="1" t="s">
        <v>51</v>
      </c>
      <c r="E25" s="65"/>
      <c r="G25" s="57" t="s">
        <v>51</v>
      </c>
      <c r="H25" s="65"/>
    </row>
    <row r="26" spans="3:15" ht="15.75" x14ac:dyDescent="0.25">
      <c r="D26" s="37" t="s">
        <v>17</v>
      </c>
      <c r="E26" s="84"/>
      <c r="G26" s="56" t="s">
        <v>17</v>
      </c>
      <c r="H26" s="84"/>
    </row>
    <row r="27" spans="3:15" ht="15" customHeight="1" x14ac:dyDescent="0.25">
      <c r="D27" s="37" t="s">
        <v>135</v>
      </c>
      <c r="E27" s="84"/>
      <c r="G27" s="103" t="s">
        <v>154</v>
      </c>
      <c r="H27" s="84"/>
    </row>
    <row r="28" spans="3:15" ht="15.75" x14ac:dyDescent="0.25">
      <c r="D28" s="44" t="s">
        <v>169</v>
      </c>
      <c r="E28" s="84"/>
      <c r="G28" s="103" t="s">
        <v>169</v>
      </c>
      <c r="H28" s="84"/>
    </row>
    <row r="29" spans="3:15" ht="15.75" x14ac:dyDescent="0.25">
      <c r="D29" s="44" t="s">
        <v>54</v>
      </c>
      <c r="E29" s="84"/>
      <c r="G29" s="103" t="s">
        <v>54</v>
      </c>
      <c r="H29" s="84"/>
    </row>
    <row r="30" spans="3:15" x14ac:dyDescent="0.25">
      <c r="D30" s="103" t="s">
        <v>168</v>
      </c>
      <c r="E30" s="61"/>
      <c r="G30" s="103" t="s">
        <v>168</v>
      </c>
      <c r="H30" s="61"/>
    </row>
    <row r="31" spans="3:15" x14ac:dyDescent="0.25">
      <c r="D31" s="103" t="s">
        <v>159</v>
      </c>
      <c r="E31" s="61"/>
      <c r="G31" s="103" t="s">
        <v>159</v>
      </c>
      <c r="H31" s="61"/>
    </row>
    <row r="32" spans="3:15" x14ac:dyDescent="0.25">
      <c r="D32" s="59"/>
      <c r="E32" s="59"/>
    </row>
    <row r="33" spans="4:11" ht="16.5" x14ac:dyDescent="0.25">
      <c r="D33" s="117" t="s">
        <v>91</v>
      </c>
      <c r="E33" s="118"/>
      <c r="G33" s="117" t="s">
        <v>92</v>
      </c>
      <c r="H33" s="118"/>
    </row>
    <row r="34" spans="4:11" ht="16.5" customHeight="1" thickBot="1" x14ac:dyDescent="0.3">
      <c r="D34" s="77" t="s">
        <v>11</v>
      </c>
      <c r="E34" s="77" t="s">
        <v>12</v>
      </c>
      <c r="G34" s="77" t="s">
        <v>11</v>
      </c>
      <c r="H34" s="77" t="s">
        <v>12</v>
      </c>
    </row>
    <row r="35" spans="4:11" ht="17.25" customHeight="1" x14ac:dyDescent="0.25">
      <c r="D35" s="81" t="s">
        <v>45</v>
      </c>
      <c r="E35" s="85">
        <f>SUM(E36:E40)</f>
        <v>0</v>
      </c>
      <c r="G35" s="81" t="s">
        <v>45</v>
      </c>
      <c r="H35" s="85">
        <f>SUM(H36:H40)</f>
        <v>0</v>
      </c>
    </row>
    <row r="36" spans="4:11" ht="15.75" customHeight="1" x14ac:dyDescent="0.25">
      <c r="D36" s="60" t="s">
        <v>17</v>
      </c>
      <c r="E36" s="66"/>
      <c r="G36" s="60" t="s">
        <v>17</v>
      </c>
      <c r="H36" s="66"/>
    </row>
    <row r="37" spans="4:11" ht="15.75" customHeight="1" x14ac:dyDescent="0.25">
      <c r="D37" s="60" t="s">
        <v>46</v>
      </c>
      <c r="E37" s="66"/>
      <c r="G37" s="60" t="s">
        <v>46</v>
      </c>
      <c r="H37" s="66"/>
    </row>
    <row r="38" spans="4:11" ht="15.75" x14ac:dyDescent="0.25">
      <c r="D38" s="64" t="s">
        <v>47</v>
      </c>
      <c r="E38" s="66"/>
      <c r="G38" s="64" t="s">
        <v>47</v>
      </c>
      <c r="H38" s="66"/>
    </row>
    <row r="39" spans="4:11" x14ac:dyDescent="0.25">
      <c r="D39" s="103" t="s">
        <v>168</v>
      </c>
      <c r="E39" s="61"/>
      <c r="G39" s="103" t="s">
        <v>168</v>
      </c>
      <c r="H39" s="61"/>
    </row>
    <row r="40" spans="4:11" x14ac:dyDescent="0.25">
      <c r="D40" s="103" t="s">
        <v>159</v>
      </c>
      <c r="E40" s="61"/>
      <c r="G40" s="103" t="s">
        <v>159</v>
      </c>
      <c r="H40" s="61"/>
    </row>
    <row r="41" spans="4:11" x14ac:dyDescent="0.25">
      <c r="G41" s="104"/>
      <c r="H41" s="105"/>
    </row>
    <row r="42" spans="4:11" ht="16.5" x14ac:dyDescent="0.25">
      <c r="D42" s="117" t="s">
        <v>134</v>
      </c>
      <c r="E42" s="118"/>
      <c r="G42" s="128" t="s">
        <v>171</v>
      </c>
      <c r="H42" s="128"/>
    </row>
    <row r="43" spans="4:11" ht="17.25" thickBot="1" x14ac:dyDescent="0.3">
      <c r="D43" s="77" t="s">
        <v>11</v>
      </c>
      <c r="E43" s="77" t="s">
        <v>12</v>
      </c>
      <c r="G43" s="29" t="s">
        <v>11</v>
      </c>
      <c r="H43" s="30" t="s">
        <v>12</v>
      </c>
    </row>
    <row r="44" spans="4:11" ht="15.75" x14ac:dyDescent="0.25">
      <c r="D44" s="78" t="s">
        <v>29</v>
      </c>
      <c r="E44" s="85">
        <f>SUM(E45:E48)</f>
        <v>0</v>
      </c>
      <c r="G44" s="19" t="s">
        <v>29</v>
      </c>
      <c r="H44" s="20">
        <f>SUM(H45:H48)</f>
        <v>0</v>
      </c>
    </row>
    <row r="45" spans="4:11" x14ac:dyDescent="0.25">
      <c r="D45" s="60" t="s">
        <v>17</v>
      </c>
      <c r="E45" s="61"/>
      <c r="G45" s="37" t="s">
        <v>17</v>
      </c>
      <c r="H45" s="39">
        <f>E37</f>
        <v>0</v>
      </c>
    </row>
    <row r="46" spans="4:11" x14ac:dyDescent="0.25">
      <c r="D46" s="60" t="s">
        <v>19</v>
      </c>
      <c r="E46" s="61"/>
      <c r="G46" s="37" t="s">
        <v>19</v>
      </c>
      <c r="H46" s="39">
        <f>E39</f>
        <v>0</v>
      </c>
    </row>
    <row r="47" spans="4:11" x14ac:dyDescent="0.25">
      <c r="D47" s="60" t="s">
        <v>25</v>
      </c>
      <c r="E47" s="61"/>
      <c r="G47" s="37" t="s">
        <v>25</v>
      </c>
      <c r="H47" s="39">
        <f>E45</f>
        <v>0</v>
      </c>
      <c r="K47" s="89"/>
    </row>
    <row r="48" spans="4:11" x14ac:dyDescent="0.25">
      <c r="D48" s="103" t="s">
        <v>159</v>
      </c>
      <c r="E48" s="61"/>
      <c r="G48" s="37" t="s">
        <v>163</v>
      </c>
      <c r="H48" s="39"/>
    </row>
    <row r="50" spans="4:8" ht="16.5" x14ac:dyDescent="0.25">
      <c r="D50" s="117" t="s">
        <v>88</v>
      </c>
      <c r="E50" s="118"/>
      <c r="G50" s="128" t="s">
        <v>128</v>
      </c>
      <c r="H50" s="128"/>
    </row>
    <row r="51" spans="4:8" ht="17.25" thickBot="1" x14ac:dyDescent="0.3">
      <c r="D51" s="77" t="s">
        <v>11</v>
      </c>
      <c r="E51" s="77" t="s">
        <v>12</v>
      </c>
      <c r="F51" s="95">
        <v>0.2</v>
      </c>
      <c r="G51" s="29" t="s">
        <v>11</v>
      </c>
      <c r="H51" s="30" t="s">
        <v>12</v>
      </c>
    </row>
    <row r="52" spans="4:8" ht="15.75" x14ac:dyDescent="0.25">
      <c r="D52" s="78" t="s">
        <v>29</v>
      </c>
      <c r="E52" s="85">
        <f>SUM(E53:E57)</f>
        <v>0</v>
      </c>
      <c r="F52" s="95">
        <v>0.1</v>
      </c>
      <c r="G52" s="19" t="s">
        <v>29</v>
      </c>
      <c r="H52" s="20">
        <f>SUM(H53:H54)</f>
        <v>0</v>
      </c>
    </row>
    <row r="53" spans="4:8" x14ac:dyDescent="0.25">
      <c r="D53" s="60" t="s">
        <v>17</v>
      </c>
      <c r="E53" s="61"/>
      <c r="F53" s="95">
        <v>0.1</v>
      </c>
      <c r="G53" s="37" t="s">
        <v>25</v>
      </c>
      <c r="H53" s="39"/>
    </row>
    <row r="54" spans="4:8" x14ac:dyDescent="0.25">
      <c r="D54" s="60" t="s">
        <v>19</v>
      </c>
      <c r="E54" s="61"/>
      <c r="F54" s="95">
        <v>0.3</v>
      </c>
      <c r="G54" s="103" t="s">
        <v>168</v>
      </c>
      <c r="H54" s="39"/>
    </row>
    <row r="55" spans="4:8" x14ac:dyDescent="0.25">
      <c r="D55" s="60" t="s">
        <v>25</v>
      </c>
      <c r="E55" s="61"/>
      <c r="F55" s="95">
        <v>0.2</v>
      </c>
    </row>
    <row r="56" spans="4:8" x14ac:dyDescent="0.25">
      <c r="D56" s="103" t="s">
        <v>168</v>
      </c>
      <c r="E56" s="61"/>
      <c r="F56" s="95">
        <v>0.1</v>
      </c>
    </row>
    <row r="57" spans="4:8" x14ac:dyDescent="0.25">
      <c r="D57" s="103" t="s">
        <v>159</v>
      </c>
      <c r="E57" s="61"/>
    </row>
    <row r="58" spans="4:8" x14ac:dyDescent="0.25">
      <c r="D58" s="59"/>
      <c r="E58" s="59"/>
    </row>
    <row r="59" spans="4:8" ht="16.5" x14ac:dyDescent="0.25">
      <c r="D59" s="126" t="s">
        <v>94</v>
      </c>
      <c r="E59" s="127"/>
      <c r="G59" s="126" t="s">
        <v>94</v>
      </c>
      <c r="H59" s="127"/>
    </row>
    <row r="60" spans="4:8" ht="15.75" thickBot="1" x14ac:dyDescent="0.3">
      <c r="D60" s="74" t="s">
        <v>93</v>
      </c>
      <c r="E60" s="75">
        <f>ROUND(SUM(E7:E9)*0.1,0)</f>
        <v>8</v>
      </c>
      <c r="G60" s="74" t="s">
        <v>93</v>
      </c>
      <c r="H60" s="75">
        <f>ROUND(SUM(H7:H9)*0.1,0)</f>
        <v>0</v>
      </c>
    </row>
    <row r="61" spans="4:8" x14ac:dyDescent="0.25">
      <c r="D61" s="72" t="s">
        <v>113</v>
      </c>
      <c r="E61" s="73">
        <f>ROUND($E$60*F51,0)</f>
        <v>2</v>
      </c>
      <c r="G61" s="72" t="s">
        <v>113</v>
      </c>
      <c r="H61" s="73">
        <f t="shared" ref="H61:H66" si="0">ROUND($H$60*F51,0)</f>
        <v>0</v>
      </c>
    </row>
    <row r="62" spans="4:8" x14ac:dyDescent="0.25">
      <c r="D62" s="70" t="s">
        <v>13</v>
      </c>
      <c r="E62" s="73">
        <f t="shared" ref="E62:E66" si="1">ROUND($E$60*F52,0)</f>
        <v>1</v>
      </c>
      <c r="G62" s="70" t="s">
        <v>13</v>
      </c>
      <c r="H62" s="71">
        <f t="shared" si="0"/>
        <v>0</v>
      </c>
    </row>
    <row r="63" spans="4:8" x14ac:dyDescent="0.25">
      <c r="D63" s="70" t="s">
        <v>14</v>
      </c>
      <c r="E63" s="73">
        <f t="shared" si="1"/>
        <v>1</v>
      </c>
      <c r="G63" s="70" t="s">
        <v>14</v>
      </c>
      <c r="H63" s="71">
        <f t="shared" si="0"/>
        <v>0</v>
      </c>
    </row>
    <row r="64" spans="4:8" x14ac:dyDescent="0.25">
      <c r="D64" s="70" t="s">
        <v>83</v>
      </c>
      <c r="E64" s="73">
        <f t="shared" si="1"/>
        <v>2</v>
      </c>
      <c r="G64" s="70" t="s">
        <v>83</v>
      </c>
      <c r="H64" s="71">
        <f t="shared" si="0"/>
        <v>0</v>
      </c>
    </row>
    <row r="65" spans="4:8" x14ac:dyDescent="0.25">
      <c r="D65" s="70" t="s">
        <v>15</v>
      </c>
      <c r="E65" s="73">
        <f t="shared" si="1"/>
        <v>2</v>
      </c>
      <c r="G65" s="70" t="s">
        <v>15</v>
      </c>
      <c r="H65" s="71">
        <f t="shared" si="0"/>
        <v>0</v>
      </c>
    </row>
    <row r="66" spans="4:8" x14ac:dyDescent="0.25">
      <c r="D66" s="70" t="s">
        <v>16</v>
      </c>
      <c r="E66" s="73">
        <f t="shared" si="1"/>
        <v>1</v>
      </c>
      <c r="G66" s="70" t="s">
        <v>16</v>
      </c>
      <c r="H66" s="71">
        <f t="shared" si="0"/>
        <v>0</v>
      </c>
    </row>
  </sheetData>
  <mergeCells count="33">
    <mergeCell ref="D13:E13"/>
    <mergeCell ref="G13:H13"/>
    <mergeCell ref="K4:L4"/>
    <mergeCell ref="K5:L5"/>
    <mergeCell ref="D59:E59"/>
    <mergeCell ref="G59:H59"/>
    <mergeCell ref="D22:E22"/>
    <mergeCell ref="G22:H22"/>
    <mergeCell ref="D33:E33"/>
    <mergeCell ref="G33:H33"/>
    <mergeCell ref="D50:E50"/>
    <mergeCell ref="G50:H50"/>
    <mergeCell ref="D42:E42"/>
    <mergeCell ref="G42:H42"/>
    <mergeCell ref="K3:L3"/>
    <mergeCell ref="M2:N2"/>
    <mergeCell ref="K2:L2"/>
    <mergeCell ref="A1:H1"/>
    <mergeCell ref="A11:B11"/>
    <mergeCell ref="A9:B9"/>
    <mergeCell ref="D3:E3"/>
    <mergeCell ref="G3:H3"/>
    <mergeCell ref="N4:N6"/>
    <mergeCell ref="K6:L6"/>
    <mergeCell ref="A13:B13"/>
    <mergeCell ref="A6:B6"/>
    <mergeCell ref="A3:B3"/>
    <mergeCell ref="A4:B4"/>
    <mergeCell ref="A5:B5"/>
    <mergeCell ref="A8:B8"/>
    <mergeCell ref="A7:B7"/>
    <mergeCell ref="A12:B12"/>
    <mergeCell ref="A10:B10"/>
  </mergeCells>
  <hyperlinks>
    <hyperlink ref="A6:B6" location="'NFC-e'!A1" display="NFC-e"/>
    <hyperlink ref="A7:B7" location="'e-Forms In-Loco'!A1" display="e-Forms In-Loco"/>
    <hyperlink ref="A10:B10" location="'e-Forms DC'!A1" display="e-Forms DC"/>
    <hyperlink ref="A8:B8" location="'NFS-e Entrada In-loco'!A1" display="NFS-e Entrada In-Loco"/>
    <hyperlink ref="A11:B11" location="'NFS-e Entrada DC'!A1" display="NFS-e Entrada DC"/>
    <hyperlink ref="A9:B9" location="'NFS-e Emissão In-Loco'!A1" display="NFS-e Emissão In-Loco"/>
    <hyperlink ref="A13:B13" location="CAPA!H57" display="Coordenação"/>
  </hyperlinks>
  <pageMargins left="0.511811024" right="0.511811024" top="0.78740157499999996" bottom="0.78740157499999996" header="0.31496062000000002" footer="0.31496062000000002"/>
  <pageSetup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cro1">
                <anchor moveWithCells="1">
                  <from>
                    <xdr:col>8</xdr:col>
                    <xdr:colOff>152400</xdr:colOff>
                    <xdr:row>12</xdr:row>
                    <xdr:rowOff>152400</xdr:rowOff>
                  </from>
                  <to>
                    <xdr:col>11</xdr:col>
                    <xdr:colOff>247650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acro4">
                <anchor moveWithCells="1">
                  <from>
                    <xdr:col>11</xdr:col>
                    <xdr:colOff>495300</xdr:colOff>
                    <xdr:row>12</xdr:row>
                    <xdr:rowOff>142875</xdr:rowOff>
                  </from>
                  <to>
                    <xdr:col>14</xdr:col>
                    <xdr:colOff>28575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Macro13">
                <anchor moveWithCells="1">
                  <from>
                    <xdr:col>8</xdr:col>
                    <xdr:colOff>152400</xdr:colOff>
                    <xdr:row>13</xdr:row>
                    <xdr:rowOff>142875</xdr:rowOff>
                  </from>
                  <to>
                    <xdr:col>11</xdr:col>
                    <xdr:colOff>247650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acro15">
                <anchor moveWithCells="1">
                  <from>
                    <xdr:col>11</xdr:col>
                    <xdr:colOff>495300</xdr:colOff>
                    <xdr:row>13</xdr:row>
                    <xdr:rowOff>133350</xdr:rowOff>
                  </from>
                  <to>
                    <xdr:col>14</xdr:col>
                    <xdr:colOff>28575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Macro16">
                <anchor moveWithCells="1">
                  <from>
                    <xdr:col>8</xdr:col>
                    <xdr:colOff>152400</xdr:colOff>
                    <xdr:row>14</xdr:row>
                    <xdr:rowOff>142875</xdr:rowOff>
                  </from>
                  <to>
                    <xdr:col>11</xdr:col>
                    <xdr:colOff>247650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Macro17">
                <anchor moveWithCells="1">
                  <from>
                    <xdr:col>11</xdr:col>
                    <xdr:colOff>495300</xdr:colOff>
                    <xdr:row>14</xdr:row>
                    <xdr:rowOff>133350</xdr:rowOff>
                  </from>
                  <to>
                    <xdr:col>14</xdr:col>
                    <xdr:colOff>28575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Macro20">
                <anchor moveWithCells="1">
                  <from>
                    <xdr:col>8</xdr:col>
                    <xdr:colOff>152400</xdr:colOff>
                    <xdr:row>16</xdr:row>
                    <xdr:rowOff>0</xdr:rowOff>
                  </from>
                  <to>
                    <xdr:col>11</xdr:col>
                    <xdr:colOff>247650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Macro22">
                <anchor moveWithCells="1">
                  <from>
                    <xdr:col>11</xdr:col>
                    <xdr:colOff>495300</xdr:colOff>
                    <xdr:row>16</xdr:row>
                    <xdr:rowOff>19050</xdr:rowOff>
                  </from>
                  <to>
                    <xdr:col>14</xdr:col>
                    <xdr:colOff>28575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Macro25">
                <anchor moveWithCells="1">
                  <from>
                    <xdr:col>8</xdr:col>
                    <xdr:colOff>152400</xdr:colOff>
                    <xdr:row>17</xdr:row>
                    <xdr:rowOff>76200</xdr:rowOff>
                  </from>
                  <to>
                    <xdr:col>11</xdr:col>
                    <xdr:colOff>247650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Limparloco">
                <anchor moveWithCells="1">
                  <from>
                    <xdr:col>8</xdr:col>
                    <xdr:colOff>152400</xdr:colOff>
                    <xdr:row>19</xdr:row>
                    <xdr:rowOff>0</xdr:rowOff>
                  </from>
                  <to>
                    <xdr:col>11</xdr:col>
                    <xdr:colOff>247650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LimpaDC">
                <anchor moveWithCells="1">
                  <from>
                    <xdr:col>11</xdr:col>
                    <xdr:colOff>485775</xdr:colOff>
                    <xdr:row>19</xdr:row>
                    <xdr:rowOff>0</xdr:rowOff>
                  </from>
                  <to>
                    <xdr:col>14</xdr:col>
                    <xdr:colOff>28575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Macro2">
                <anchor moveWithCells="1">
                  <from>
                    <xdr:col>9</xdr:col>
                    <xdr:colOff>9525</xdr:colOff>
                    <xdr:row>0</xdr:row>
                    <xdr:rowOff>57150</xdr:rowOff>
                  </from>
                  <to>
                    <xdr:col>11</xdr:col>
                    <xdr:colOff>38100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 macro="[0]!Macro5">
                <anchor moveWithCells="1">
                  <from>
                    <xdr:col>11</xdr:col>
                    <xdr:colOff>495300</xdr:colOff>
                    <xdr:row>17</xdr:row>
                    <xdr:rowOff>76200</xdr:rowOff>
                  </from>
                  <to>
                    <xdr:col>14</xdr:col>
                    <xdr:colOff>28575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7" name="Button 27">
              <controlPr defaultSize="0" print="0" autoFill="0" autoPict="0" macro="[1]!Macro2">
                <anchor moveWithCells="1">
                  <from>
                    <xdr:col>9</xdr:col>
                    <xdr:colOff>9525</xdr:colOff>
                    <xdr:row>0</xdr:row>
                    <xdr:rowOff>57150</xdr:rowOff>
                  </from>
                  <to>
                    <xdr:col>11</xdr:col>
                    <xdr:colOff>38100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B8"/>
  <sheetViews>
    <sheetView workbookViewId="0">
      <selection activeCell="C5" sqref="C5"/>
    </sheetView>
  </sheetViews>
  <sheetFormatPr defaultRowHeight="15" x14ac:dyDescent="0.25"/>
  <cols>
    <col min="1" max="1" width="24.140625" customWidth="1"/>
  </cols>
  <sheetData>
    <row r="1" spans="1:2" x14ac:dyDescent="0.25">
      <c r="A1" s="59" t="s">
        <v>28</v>
      </c>
      <c r="B1" s="59"/>
    </row>
    <row r="2" spans="1:2" x14ac:dyDescent="0.25">
      <c r="A2" s="59" t="s">
        <v>72</v>
      </c>
      <c r="B2" s="59"/>
    </row>
    <row r="3" spans="1:2" x14ac:dyDescent="0.25">
      <c r="A3" s="59" t="s">
        <v>85</v>
      </c>
      <c r="B3" s="59"/>
    </row>
    <row r="4" spans="1:2" x14ac:dyDescent="0.25">
      <c r="A4" s="59" t="s">
        <v>108</v>
      </c>
      <c r="B4" s="59"/>
    </row>
    <row r="5" spans="1:2" x14ac:dyDescent="0.25">
      <c r="A5" s="59" t="s">
        <v>109</v>
      </c>
      <c r="B5" s="59"/>
    </row>
    <row r="6" spans="1:2" x14ac:dyDescent="0.25">
      <c r="A6" s="59" t="s">
        <v>110</v>
      </c>
      <c r="B6" s="59"/>
    </row>
    <row r="7" spans="1:2" x14ac:dyDescent="0.25">
      <c r="A7" s="67" t="s">
        <v>111</v>
      </c>
      <c r="B7" s="68"/>
    </row>
    <row r="8" spans="1:2" x14ac:dyDescent="0.25">
      <c r="A8" s="59" t="s">
        <v>112</v>
      </c>
      <c r="B8" s="59"/>
    </row>
  </sheetData>
  <pageMargins left="0.511811024" right="0.511811024" top="0.78740157499999996" bottom="0.78740157499999996" header="0.31496062000000002" footer="0.31496062000000002"/>
  <pageSetup orientation="portrait" horizontalDpi="300" verticalDpi="0" copies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J22"/>
  <sheetViews>
    <sheetView showGridLines="0" workbookViewId="0">
      <selection activeCell="D19" sqref="D19"/>
    </sheetView>
  </sheetViews>
  <sheetFormatPr defaultRowHeight="16.5" customHeight="1" x14ac:dyDescent="0.25"/>
  <cols>
    <col min="1" max="1" width="45" customWidth="1"/>
    <col min="2" max="2" width="19.7109375" bestFit="1" customWidth="1"/>
    <col min="3" max="3" width="4.42578125" customWidth="1"/>
    <col min="4" max="4" width="30.28515625" bestFit="1" customWidth="1"/>
    <col min="5" max="5" width="22.140625" bestFit="1" customWidth="1"/>
    <col min="6" max="6" width="13.140625" customWidth="1"/>
    <col min="7" max="7" width="12.140625" customWidth="1"/>
    <col min="8" max="8" width="8.28515625" bestFit="1" customWidth="1"/>
    <col min="9" max="9" width="6" bestFit="1" customWidth="1"/>
    <col min="10" max="10" width="5.5703125" bestFit="1" customWidth="1"/>
  </cols>
  <sheetData>
    <row r="1" spans="1:10" ht="16.5" customHeight="1" x14ac:dyDescent="0.25">
      <c r="A1" s="128" t="s">
        <v>38</v>
      </c>
      <c r="B1" s="128"/>
      <c r="D1" s="129" t="s">
        <v>37</v>
      </c>
      <c r="E1" s="130"/>
      <c r="F1" s="130"/>
      <c r="G1" s="130"/>
      <c r="H1" s="130"/>
      <c r="I1" s="130"/>
      <c r="J1" s="131"/>
    </row>
    <row r="2" spans="1:10" ht="16.5" customHeight="1" x14ac:dyDescent="0.25">
      <c r="A2" s="29" t="s">
        <v>11</v>
      </c>
      <c r="B2" s="30" t="s">
        <v>12</v>
      </c>
      <c r="D2" s="35" t="s">
        <v>0</v>
      </c>
      <c r="E2" s="35" t="s">
        <v>1</v>
      </c>
      <c r="F2" s="36" t="s">
        <v>8</v>
      </c>
      <c r="G2" s="35" t="s">
        <v>4</v>
      </c>
      <c r="H2" s="35" t="s">
        <v>5</v>
      </c>
      <c r="I2" s="35" t="s">
        <v>6</v>
      </c>
      <c r="J2" s="35" t="s">
        <v>7</v>
      </c>
    </row>
    <row r="3" spans="1:10" ht="16.5" customHeight="1" x14ac:dyDescent="0.25">
      <c r="A3" s="31" t="s">
        <v>72</v>
      </c>
      <c r="B3" s="40">
        <f>+B4+B6+B12+B19+B21</f>
        <v>75</v>
      </c>
      <c r="D3" s="22" t="s">
        <v>68</v>
      </c>
      <c r="E3" s="22" t="s">
        <v>71</v>
      </c>
      <c r="F3" s="32">
        <v>30</v>
      </c>
      <c r="G3" s="21">
        <f>[1]CAPA!M4+[1]CAPA!M6</f>
        <v>0</v>
      </c>
      <c r="H3" s="25">
        <f>F3*G3</f>
        <v>0</v>
      </c>
      <c r="I3" s="26">
        <f>H3/60</f>
        <v>0</v>
      </c>
      <c r="J3" s="27">
        <f>I3/24</f>
        <v>0</v>
      </c>
    </row>
    <row r="4" spans="1:10" ht="16.5" customHeight="1" x14ac:dyDescent="0.25">
      <c r="A4" s="7" t="s">
        <v>17</v>
      </c>
      <c r="B4" s="41">
        <f>SUM(B5)</f>
        <v>24</v>
      </c>
      <c r="D4" s="22" t="s">
        <v>151</v>
      </c>
      <c r="E4" s="22" t="s">
        <v>71</v>
      </c>
      <c r="F4" s="32">
        <v>30</v>
      </c>
      <c r="G4" s="21">
        <v>1</v>
      </c>
      <c r="H4" s="25">
        <f t="shared" ref="H4:H7" si="0">F4*G4</f>
        <v>30</v>
      </c>
      <c r="I4" s="26">
        <f t="shared" ref="I4:I7" si="1">H4/60</f>
        <v>0.5</v>
      </c>
      <c r="J4" s="27">
        <f t="shared" ref="J4:J7" si="2">I4/24</f>
        <v>2.0833333333333332E-2</v>
      </c>
    </row>
    <row r="5" spans="1:10" ht="16.5" customHeight="1" x14ac:dyDescent="0.25">
      <c r="A5" s="2" t="s">
        <v>18</v>
      </c>
      <c r="B5" s="16">
        <v>24</v>
      </c>
      <c r="D5" s="22" t="s">
        <v>152</v>
      </c>
      <c r="E5" s="22" t="s">
        <v>71</v>
      </c>
      <c r="F5" s="32">
        <v>30</v>
      </c>
      <c r="G5" s="21">
        <v>1</v>
      </c>
      <c r="H5" s="25">
        <f t="shared" si="0"/>
        <v>30</v>
      </c>
      <c r="I5" s="26">
        <f t="shared" si="1"/>
        <v>0.5</v>
      </c>
      <c r="J5" s="27">
        <f t="shared" si="2"/>
        <v>2.0833333333333332E-2</v>
      </c>
    </row>
    <row r="6" spans="1:10" ht="16.5" customHeight="1" x14ac:dyDescent="0.25">
      <c r="A6" s="7" t="s">
        <v>19</v>
      </c>
      <c r="B6" s="41">
        <f>SUM(B7:B11)</f>
        <v>29</v>
      </c>
      <c r="D6" s="22" t="s">
        <v>159</v>
      </c>
      <c r="E6" s="22" t="s">
        <v>160</v>
      </c>
      <c r="F6" s="32">
        <v>60</v>
      </c>
      <c r="G6" s="21">
        <v>0</v>
      </c>
      <c r="H6" s="25">
        <f t="shared" si="0"/>
        <v>0</v>
      </c>
      <c r="I6" s="26">
        <f t="shared" si="1"/>
        <v>0</v>
      </c>
      <c r="J6" s="27">
        <f t="shared" si="2"/>
        <v>0</v>
      </c>
    </row>
    <row r="7" spans="1:10" ht="16.5" customHeight="1" x14ac:dyDescent="0.25">
      <c r="A7" s="2" t="s">
        <v>65</v>
      </c>
      <c r="B7" s="4">
        <v>4</v>
      </c>
      <c r="D7" s="22" t="s">
        <v>161</v>
      </c>
      <c r="E7" s="22" t="s">
        <v>160</v>
      </c>
      <c r="F7" s="32">
        <v>60</v>
      </c>
      <c r="G7" s="21">
        <v>0</v>
      </c>
      <c r="H7" s="25">
        <f t="shared" si="0"/>
        <v>0</v>
      </c>
      <c r="I7" s="26">
        <f t="shared" si="1"/>
        <v>0</v>
      </c>
      <c r="J7" s="27">
        <f t="shared" si="2"/>
        <v>0</v>
      </c>
    </row>
    <row r="8" spans="1:10" ht="16.5" customHeight="1" x14ac:dyDescent="0.25">
      <c r="A8" s="5" t="s">
        <v>66</v>
      </c>
      <c r="B8" s="6">
        <f>I8</f>
        <v>1</v>
      </c>
      <c r="D8" s="9"/>
      <c r="E8" s="9"/>
      <c r="F8" s="33"/>
      <c r="G8" s="8" t="s">
        <v>9</v>
      </c>
      <c r="H8" s="25">
        <f>SUM(H3:H7)</f>
        <v>60</v>
      </c>
      <c r="I8" s="34">
        <f>SUM(I3:I7)</f>
        <v>1</v>
      </c>
      <c r="J8" s="27">
        <f>SUM(J3:J7)</f>
        <v>4.1666666666666664E-2</v>
      </c>
    </row>
    <row r="9" spans="1:10" ht="16.5" customHeight="1" x14ac:dyDescent="0.25">
      <c r="A9" s="3" t="s">
        <v>22</v>
      </c>
      <c r="B9" s="13">
        <v>8</v>
      </c>
      <c r="D9" s="9"/>
      <c r="E9" s="9"/>
      <c r="F9" s="9"/>
      <c r="G9" s="9"/>
      <c r="H9" s="9"/>
      <c r="I9" s="9"/>
      <c r="J9" s="9"/>
    </row>
    <row r="10" spans="1:10" ht="16.5" customHeight="1" x14ac:dyDescent="0.25">
      <c r="A10" s="3" t="s">
        <v>23</v>
      </c>
      <c r="B10" s="13">
        <v>4</v>
      </c>
      <c r="D10" s="128" t="s">
        <v>89</v>
      </c>
      <c r="E10" s="128"/>
      <c r="F10" s="9"/>
      <c r="G10" s="38" t="s">
        <v>39</v>
      </c>
      <c r="H10" s="9"/>
      <c r="I10" s="9"/>
      <c r="J10" s="9"/>
    </row>
    <row r="11" spans="1:10" ht="16.5" customHeight="1" x14ac:dyDescent="0.25">
      <c r="A11" s="3" t="s">
        <v>24</v>
      </c>
      <c r="B11" s="13">
        <v>12</v>
      </c>
      <c r="D11" s="29" t="s">
        <v>11</v>
      </c>
      <c r="E11" s="30" t="s">
        <v>12</v>
      </c>
      <c r="F11" s="9"/>
      <c r="G11" s="10"/>
      <c r="H11" s="9" t="s">
        <v>40</v>
      </c>
      <c r="I11" s="9"/>
      <c r="J11" s="9"/>
    </row>
    <row r="12" spans="1:10" ht="16.5" customHeight="1" x14ac:dyDescent="0.25">
      <c r="A12" s="7" t="s">
        <v>25</v>
      </c>
      <c r="B12" s="41">
        <f>SUM(B13:B17)</f>
        <v>22</v>
      </c>
      <c r="D12" s="19" t="s">
        <v>29</v>
      </c>
      <c r="E12" s="20">
        <f>SUM(E13:E17)</f>
        <v>75</v>
      </c>
      <c r="F12" s="9"/>
      <c r="G12" s="11"/>
      <c r="H12" s="9" t="s">
        <v>41</v>
      </c>
      <c r="I12" s="9"/>
      <c r="J12" s="9"/>
    </row>
    <row r="13" spans="1:10" ht="16.5" customHeight="1" x14ac:dyDescent="0.25">
      <c r="A13" s="2" t="s">
        <v>65</v>
      </c>
      <c r="B13" s="14">
        <v>4</v>
      </c>
      <c r="D13" s="37" t="s">
        <v>17</v>
      </c>
      <c r="E13" s="39">
        <f>B4</f>
        <v>24</v>
      </c>
      <c r="F13" s="9"/>
      <c r="G13" s="12"/>
      <c r="H13" s="9" t="s">
        <v>42</v>
      </c>
      <c r="I13" s="9"/>
      <c r="J13" s="9"/>
    </row>
    <row r="14" spans="1:10" ht="16.5" customHeight="1" x14ac:dyDescent="0.25">
      <c r="A14" s="5" t="s">
        <v>66</v>
      </c>
      <c r="B14" s="6">
        <f>I3+I4+I5</f>
        <v>1</v>
      </c>
      <c r="D14" s="37" t="s">
        <v>19</v>
      </c>
      <c r="E14" s="39">
        <f>B6</f>
        <v>29</v>
      </c>
      <c r="F14" s="9"/>
      <c r="G14" s="9"/>
      <c r="H14" s="9"/>
      <c r="I14" s="9"/>
      <c r="J14" s="9"/>
    </row>
    <row r="15" spans="1:10" ht="16.5" customHeight="1" x14ac:dyDescent="0.25">
      <c r="A15" s="3" t="s">
        <v>23</v>
      </c>
      <c r="B15" s="13">
        <v>5</v>
      </c>
      <c r="D15" s="37" t="s">
        <v>25</v>
      </c>
      <c r="E15" s="39">
        <f>B12</f>
        <v>22</v>
      </c>
      <c r="F15" s="9"/>
      <c r="G15" s="9"/>
      <c r="H15" s="9"/>
      <c r="I15" s="9"/>
      <c r="J15" s="9"/>
    </row>
    <row r="16" spans="1:10" ht="16.5" customHeight="1" x14ac:dyDescent="0.25">
      <c r="A16" s="3" t="s">
        <v>26</v>
      </c>
      <c r="B16" s="13">
        <v>4</v>
      </c>
      <c r="D16" s="37" t="s">
        <v>162</v>
      </c>
      <c r="E16" s="39">
        <f>B19</f>
        <v>0</v>
      </c>
      <c r="F16" s="9"/>
      <c r="G16" s="9"/>
      <c r="H16" s="9"/>
      <c r="I16" s="9"/>
      <c r="J16" s="9"/>
    </row>
    <row r="17" spans="1:10" ht="16.5" customHeight="1" x14ac:dyDescent="0.25">
      <c r="A17" s="3" t="s">
        <v>27</v>
      </c>
      <c r="B17" s="13">
        <v>8</v>
      </c>
      <c r="D17" s="37" t="s">
        <v>163</v>
      </c>
      <c r="E17" s="39">
        <f>B21</f>
        <v>0</v>
      </c>
      <c r="F17" s="9"/>
      <c r="G17" s="9"/>
      <c r="H17" s="9"/>
      <c r="I17" s="9"/>
      <c r="J17" s="9"/>
    </row>
    <row r="18" spans="1:10" ht="16.5" customHeight="1" x14ac:dyDescent="0.25">
      <c r="A18" s="3" t="s">
        <v>64</v>
      </c>
      <c r="B18" s="18">
        <v>0</v>
      </c>
      <c r="D18" s="9"/>
      <c r="E18" s="9"/>
      <c r="F18" s="9"/>
      <c r="G18" s="9"/>
      <c r="H18" s="9"/>
      <c r="I18" s="9"/>
      <c r="J18" s="9"/>
    </row>
    <row r="19" spans="1:10" ht="16.5" customHeight="1" x14ac:dyDescent="0.25">
      <c r="A19" s="7" t="s">
        <v>155</v>
      </c>
      <c r="B19" s="41">
        <f>SUM(B20)</f>
        <v>0</v>
      </c>
    </row>
    <row r="20" spans="1:10" ht="16.5" customHeight="1" x14ac:dyDescent="0.25">
      <c r="A20" s="5" t="s">
        <v>64</v>
      </c>
      <c r="B20" s="23">
        <f>I6</f>
        <v>0</v>
      </c>
    </row>
    <row r="21" spans="1:10" ht="16.5" customHeight="1" x14ac:dyDescent="0.25">
      <c r="A21" s="7" t="s">
        <v>156</v>
      </c>
      <c r="B21" s="41">
        <f>SUM(B22)</f>
        <v>0</v>
      </c>
    </row>
    <row r="22" spans="1:10" ht="16.5" customHeight="1" x14ac:dyDescent="0.25">
      <c r="A22" s="5" t="s">
        <v>157</v>
      </c>
      <c r="B22" s="23">
        <f>I7</f>
        <v>0</v>
      </c>
    </row>
  </sheetData>
  <mergeCells count="3">
    <mergeCell ref="A1:B1"/>
    <mergeCell ref="D10:E10"/>
    <mergeCell ref="D1:J1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J21"/>
  <sheetViews>
    <sheetView showGridLines="0" tabSelected="1" workbookViewId="0">
      <selection activeCell="D19" sqref="D19"/>
    </sheetView>
  </sheetViews>
  <sheetFormatPr defaultRowHeight="15" x14ac:dyDescent="0.25"/>
  <cols>
    <col min="1" max="1" width="45.140625" customWidth="1"/>
    <col min="2" max="2" width="19.7109375" bestFit="1" customWidth="1"/>
    <col min="3" max="3" width="4.42578125" customWidth="1"/>
    <col min="4" max="4" width="30.28515625" bestFit="1" customWidth="1"/>
    <col min="5" max="5" width="22.140625" bestFit="1" customWidth="1"/>
    <col min="6" max="6" width="13" customWidth="1"/>
    <col min="7" max="7" width="9.85546875" bestFit="1" customWidth="1"/>
    <col min="8" max="8" width="12" customWidth="1"/>
    <col min="9" max="9" width="6" bestFit="1" customWidth="1"/>
    <col min="10" max="10" width="6.42578125" customWidth="1"/>
  </cols>
  <sheetData>
    <row r="1" spans="1:10" ht="16.5" x14ac:dyDescent="0.25">
      <c r="A1" s="128" t="s">
        <v>38</v>
      </c>
      <c r="B1" s="128"/>
      <c r="D1" s="129" t="s">
        <v>37</v>
      </c>
      <c r="E1" s="130"/>
      <c r="F1" s="130"/>
      <c r="G1" s="130"/>
      <c r="H1" s="130"/>
      <c r="I1" s="130"/>
      <c r="J1" s="131"/>
    </row>
    <row r="2" spans="1:10" ht="16.5" customHeight="1" x14ac:dyDescent="0.25">
      <c r="A2" s="29" t="s">
        <v>11</v>
      </c>
      <c r="B2" s="30" t="s">
        <v>12</v>
      </c>
      <c r="D2" s="35" t="s">
        <v>0</v>
      </c>
      <c r="E2" s="35" t="s">
        <v>1</v>
      </c>
      <c r="F2" s="36" t="s">
        <v>8</v>
      </c>
      <c r="G2" s="35" t="s">
        <v>4</v>
      </c>
      <c r="H2" s="35" t="s">
        <v>5</v>
      </c>
      <c r="I2" s="35" t="s">
        <v>6</v>
      </c>
      <c r="J2" s="35" t="s">
        <v>7</v>
      </c>
    </row>
    <row r="3" spans="1:10" ht="15.75" x14ac:dyDescent="0.25">
      <c r="A3" s="31" t="s">
        <v>85</v>
      </c>
      <c r="B3" s="40">
        <f>+B4+B6+B12+B18+B20</f>
        <v>69</v>
      </c>
      <c r="D3" s="22" t="s">
        <v>68</v>
      </c>
      <c r="E3" s="22" t="s">
        <v>80</v>
      </c>
      <c r="F3" s="32">
        <v>40</v>
      </c>
      <c r="G3" s="21">
        <v>3</v>
      </c>
      <c r="H3" s="25">
        <f>F3*G3</f>
        <v>120</v>
      </c>
      <c r="I3" s="34">
        <f>H3/60</f>
        <v>2</v>
      </c>
      <c r="J3" s="27">
        <f>I3/24</f>
        <v>8.3333333333333329E-2</v>
      </c>
    </row>
    <row r="4" spans="1:10" ht="16.5" x14ac:dyDescent="0.25">
      <c r="A4" s="7" t="s">
        <v>17</v>
      </c>
      <c r="B4" s="41">
        <f>SUM(B5)</f>
        <v>24</v>
      </c>
      <c r="D4" s="22" t="s">
        <v>151</v>
      </c>
      <c r="E4" s="22" t="s">
        <v>80</v>
      </c>
      <c r="F4" s="32">
        <v>40</v>
      </c>
      <c r="G4" s="21">
        <f>[1]CAPA!K4</f>
        <v>0</v>
      </c>
      <c r="H4" s="25">
        <f>F4*G4</f>
        <v>0</v>
      </c>
      <c r="I4" s="25">
        <f>H4/60</f>
        <v>0</v>
      </c>
      <c r="J4" s="27">
        <f>I4/24</f>
        <v>0</v>
      </c>
    </row>
    <row r="5" spans="1:10" x14ac:dyDescent="0.25">
      <c r="A5" s="2" t="s">
        <v>18</v>
      </c>
      <c r="B5" s="16">
        <v>24</v>
      </c>
      <c r="D5" s="22" t="s">
        <v>152</v>
      </c>
      <c r="E5" s="22" t="s">
        <v>80</v>
      </c>
      <c r="F5" s="32">
        <v>40</v>
      </c>
      <c r="G5" s="21">
        <f>[1]CAPA!K6</f>
        <v>0</v>
      </c>
      <c r="H5" s="25">
        <f>F5*G5</f>
        <v>0</v>
      </c>
      <c r="I5" s="25">
        <f>H5/60</f>
        <v>0</v>
      </c>
      <c r="J5" s="27">
        <f>I5/24</f>
        <v>0</v>
      </c>
    </row>
    <row r="6" spans="1:10" ht="16.5" customHeight="1" x14ac:dyDescent="0.25">
      <c r="A6" s="7" t="s">
        <v>19</v>
      </c>
      <c r="B6" s="41">
        <f>SUM(B7:B11)</f>
        <v>26.5</v>
      </c>
      <c r="D6" s="22" t="s">
        <v>69</v>
      </c>
      <c r="E6" s="22" t="s">
        <v>158</v>
      </c>
      <c r="F6" s="32">
        <v>30</v>
      </c>
      <c r="G6" s="21">
        <v>1</v>
      </c>
      <c r="H6" s="25">
        <f t="shared" ref="H6:H8" si="0">F6*G6</f>
        <v>30</v>
      </c>
      <c r="I6" s="26">
        <f t="shared" ref="I6:I8" si="1">H6/60</f>
        <v>0.5</v>
      </c>
      <c r="J6" s="27">
        <f t="shared" ref="J6:J8" si="2">I6/24</f>
        <v>2.0833333333333332E-2</v>
      </c>
    </row>
    <row r="7" spans="1:10" x14ac:dyDescent="0.25">
      <c r="A7" s="5" t="s">
        <v>73</v>
      </c>
      <c r="B7" s="6">
        <f>I3</f>
        <v>2</v>
      </c>
      <c r="D7" s="22" t="s">
        <v>159</v>
      </c>
      <c r="E7" s="22" t="s">
        <v>160</v>
      </c>
      <c r="F7" s="32">
        <v>60</v>
      </c>
      <c r="G7" s="21">
        <v>0</v>
      </c>
      <c r="H7" s="25">
        <f t="shared" si="0"/>
        <v>0</v>
      </c>
      <c r="I7" s="25">
        <f t="shared" si="1"/>
        <v>0</v>
      </c>
      <c r="J7" s="27">
        <f t="shared" si="2"/>
        <v>0</v>
      </c>
    </row>
    <row r="8" spans="1:10" x14ac:dyDescent="0.25">
      <c r="A8" s="5" t="s">
        <v>67</v>
      </c>
      <c r="B8" s="6">
        <v>0.5</v>
      </c>
      <c r="D8" s="22" t="s">
        <v>161</v>
      </c>
      <c r="E8" s="22" t="s">
        <v>160</v>
      </c>
      <c r="F8" s="32">
        <v>60</v>
      </c>
      <c r="G8" s="21">
        <v>0</v>
      </c>
      <c r="H8" s="25">
        <f t="shared" si="0"/>
        <v>0</v>
      </c>
      <c r="I8" s="25">
        <f t="shared" si="1"/>
        <v>0</v>
      </c>
      <c r="J8" s="27">
        <f t="shared" si="2"/>
        <v>0</v>
      </c>
    </row>
    <row r="9" spans="1:10" x14ac:dyDescent="0.25">
      <c r="A9" s="3" t="s">
        <v>22</v>
      </c>
      <c r="B9" s="13">
        <v>8</v>
      </c>
      <c r="D9" s="9"/>
      <c r="E9" s="9"/>
      <c r="F9" s="33"/>
      <c r="G9" s="22" t="s">
        <v>9</v>
      </c>
      <c r="H9" s="25">
        <f>SUM(H3:H8)</f>
        <v>150</v>
      </c>
      <c r="I9" s="26">
        <f>SUM(I3:I8)</f>
        <v>2.5</v>
      </c>
      <c r="J9" s="27">
        <f>SUM(J3:J8)</f>
        <v>0.10416666666666666</v>
      </c>
    </row>
    <row r="10" spans="1:10" x14ac:dyDescent="0.25">
      <c r="A10" s="3" t="s">
        <v>23</v>
      </c>
      <c r="B10" s="13">
        <v>4</v>
      </c>
      <c r="D10" s="9"/>
      <c r="E10" s="9"/>
      <c r="F10" s="9"/>
      <c r="G10" s="9"/>
      <c r="H10" s="9"/>
      <c r="I10" s="9"/>
      <c r="J10" s="9"/>
    </row>
    <row r="11" spans="1:10" ht="16.5" x14ac:dyDescent="0.25">
      <c r="A11" s="3" t="s">
        <v>24</v>
      </c>
      <c r="B11" s="13">
        <v>12</v>
      </c>
      <c r="D11" s="128" t="s">
        <v>90</v>
      </c>
      <c r="E11" s="128"/>
      <c r="F11" s="9"/>
      <c r="G11" s="38" t="s">
        <v>39</v>
      </c>
      <c r="H11" s="9"/>
      <c r="I11" s="9"/>
      <c r="J11" s="9"/>
    </row>
    <row r="12" spans="1:10" ht="16.5" x14ac:dyDescent="0.25">
      <c r="A12" s="7" t="s">
        <v>25</v>
      </c>
      <c r="B12" s="41">
        <f>SUM(B13:B17)</f>
        <v>18.5</v>
      </c>
      <c r="D12" s="29" t="s">
        <v>11</v>
      </c>
      <c r="E12" s="30" t="s">
        <v>12</v>
      </c>
      <c r="F12" s="9"/>
      <c r="G12" s="10"/>
      <c r="H12" s="9" t="s">
        <v>40</v>
      </c>
      <c r="I12" s="9"/>
      <c r="J12" s="9"/>
    </row>
    <row r="13" spans="1:10" ht="15.75" x14ac:dyDescent="0.25">
      <c r="A13" s="5" t="s">
        <v>66</v>
      </c>
      <c r="B13" s="6">
        <f>I3+I4+I5</f>
        <v>2</v>
      </c>
      <c r="D13" s="19" t="s">
        <v>29</v>
      </c>
      <c r="E13" s="20">
        <f>SUM(E14:E18)</f>
        <v>69</v>
      </c>
      <c r="F13" s="9"/>
      <c r="G13" s="11"/>
      <c r="H13" s="9" t="s">
        <v>41</v>
      </c>
      <c r="I13" s="9"/>
      <c r="J13" s="9"/>
    </row>
    <row r="14" spans="1:10" x14ac:dyDescent="0.25">
      <c r="A14" s="5" t="s">
        <v>67</v>
      </c>
      <c r="B14" s="6">
        <f>I6</f>
        <v>0.5</v>
      </c>
      <c r="D14" s="37" t="s">
        <v>17</v>
      </c>
      <c r="E14" s="39">
        <f>B4</f>
        <v>24</v>
      </c>
      <c r="F14" s="9"/>
      <c r="G14" s="12"/>
      <c r="H14" s="9" t="s">
        <v>42</v>
      </c>
      <c r="I14" s="9"/>
      <c r="J14" s="9"/>
    </row>
    <row r="15" spans="1:10" x14ac:dyDescent="0.25">
      <c r="A15" s="3" t="s">
        <v>23</v>
      </c>
      <c r="B15" s="13">
        <v>4</v>
      </c>
      <c r="D15" s="37" t="s">
        <v>19</v>
      </c>
      <c r="E15" s="39">
        <f>B6</f>
        <v>26.5</v>
      </c>
      <c r="F15" s="9"/>
      <c r="G15" s="9"/>
      <c r="H15" s="9"/>
      <c r="I15" s="9"/>
      <c r="J15" s="9"/>
    </row>
    <row r="16" spans="1:10" x14ac:dyDescent="0.25">
      <c r="A16" s="3" t="s">
        <v>26</v>
      </c>
      <c r="B16" s="13">
        <v>4</v>
      </c>
      <c r="D16" s="37" t="s">
        <v>25</v>
      </c>
      <c r="E16" s="39">
        <f>B12</f>
        <v>18.5</v>
      </c>
      <c r="F16" s="9"/>
      <c r="G16" s="9"/>
      <c r="H16" s="9"/>
      <c r="I16" s="9"/>
      <c r="J16" s="9"/>
    </row>
    <row r="17" spans="1:10" x14ac:dyDescent="0.25">
      <c r="A17" s="3" t="s">
        <v>27</v>
      </c>
      <c r="B17" s="13">
        <v>8</v>
      </c>
      <c r="D17" s="37" t="s">
        <v>162</v>
      </c>
      <c r="E17" s="39">
        <f>B18</f>
        <v>0</v>
      </c>
      <c r="F17" s="9"/>
      <c r="G17" s="9"/>
      <c r="H17" s="9"/>
      <c r="I17" s="9"/>
      <c r="J17" s="9"/>
    </row>
    <row r="18" spans="1:10" ht="16.5" x14ac:dyDescent="0.25">
      <c r="A18" s="7" t="s">
        <v>155</v>
      </c>
      <c r="B18" s="41">
        <f>SUM(B19)</f>
        <v>0</v>
      </c>
      <c r="D18" s="37" t="s">
        <v>163</v>
      </c>
      <c r="E18" s="39">
        <f>B20</f>
        <v>0</v>
      </c>
      <c r="F18" s="9"/>
      <c r="G18" s="9"/>
      <c r="H18" s="9"/>
      <c r="I18" s="9"/>
      <c r="J18" s="9"/>
    </row>
    <row r="19" spans="1:10" x14ac:dyDescent="0.25">
      <c r="A19" s="5" t="s">
        <v>64</v>
      </c>
      <c r="B19" s="23">
        <f>I7</f>
        <v>0</v>
      </c>
      <c r="D19" s="9"/>
      <c r="E19" s="9"/>
      <c r="F19" s="9"/>
      <c r="G19" s="9"/>
      <c r="H19" s="9"/>
      <c r="I19" s="9"/>
      <c r="J19" s="9"/>
    </row>
    <row r="20" spans="1:10" ht="16.5" x14ac:dyDescent="0.25">
      <c r="A20" s="7" t="s">
        <v>156</v>
      </c>
      <c r="B20" s="41">
        <f>SUM(B21)</f>
        <v>0</v>
      </c>
    </row>
    <row r="21" spans="1:10" x14ac:dyDescent="0.25">
      <c r="A21" s="5" t="s">
        <v>157</v>
      </c>
      <c r="B21" s="23">
        <f>I8</f>
        <v>0</v>
      </c>
    </row>
  </sheetData>
  <mergeCells count="3">
    <mergeCell ref="A1:B1"/>
    <mergeCell ref="D11:E11"/>
    <mergeCell ref="D1:J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J18"/>
  <sheetViews>
    <sheetView showGridLines="0" workbookViewId="0">
      <selection activeCell="D10" sqref="D10:E14"/>
    </sheetView>
  </sheetViews>
  <sheetFormatPr defaultRowHeight="15" x14ac:dyDescent="0.25"/>
  <cols>
    <col min="1" max="1" width="45.140625" customWidth="1"/>
    <col min="2" max="2" width="19.7109375" bestFit="1" customWidth="1"/>
    <col min="3" max="3" width="4.42578125" customWidth="1"/>
    <col min="4" max="4" width="24.85546875" bestFit="1" customWidth="1"/>
    <col min="5" max="5" width="19.7109375" bestFit="1" customWidth="1"/>
    <col min="6" max="6" width="13" customWidth="1"/>
    <col min="7" max="7" width="9.85546875" bestFit="1" customWidth="1"/>
    <col min="8" max="8" width="12" customWidth="1"/>
    <col min="9" max="9" width="6" bestFit="1" customWidth="1"/>
    <col min="10" max="10" width="6.42578125" customWidth="1"/>
  </cols>
  <sheetData>
    <row r="1" spans="1:10" ht="16.5" x14ac:dyDescent="0.25">
      <c r="A1" s="128" t="s">
        <v>38</v>
      </c>
      <c r="B1" s="128"/>
      <c r="D1" s="129" t="s">
        <v>37</v>
      </c>
      <c r="E1" s="130"/>
      <c r="F1" s="130"/>
      <c r="G1" s="130"/>
      <c r="H1" s="130"/>
      <c r="I1" s="130"/>
      <c r="J1" s="131"/>
    </row>
    <row r="2" spans="1:10" ht="16.5" x14ac:dyDescent="0.25">
      <c r="A2" s="29" t="s">
        <v>11</v>
      </c>
      <c r="B2" s="30" t="s">
        <v>12</v>
      </c>
      <c r="D2" s="35" t="s">
        <v>0</v>
      </c>
      <c r="E2" s="35" t="s">
        <v>1</v>
      </c>
      <c r="F2" s="36" t="s">
        <v>8</v>
      </c>
      <c r="G2" s="35" t="s">
        <v>4</v>
      </c>
      <c r="H2" s="35" t="s">
        <v>5</v>
      </c>
      <c r="I2" s="35" t="s">
        <v>6</v>
      </c>
      <c r="J2" s="35" t="s">
        <v>7</v>
      </c>
    </row>
    <row r="3" spans="1:10" ht="15.75" x14ac:dyDescent="0.25">
      <c r="A3" s="31" t="s">
        <v>127</v>
      </c>
      <c r="B3" s="40">
        <f>B4+B10+B14</f>
        <v>40</v>
      </c>
      <c r="D3" s="22" t="s">
        <v>161</v>
      </c>
      <c r="E3" s="22" t="s">
        <v>160</v>
      </c>
      <c r="F3" s="32">
        <v>60</v>
      </c>
      <c r="G3" s="21">
        <v>0</v>
      </c>
      <c r="H3" s="25">
        <f t="shared" ref="H3:H7" si="0">F3*G3</f>
        <v>0</v>
      </c>
      <c r="I3" s="25">
        <f t="shared" ref="I3:I7" si="1">H3/60</f>
        <v>0</v>
      </c>
      <c r="J3" s="27">
        <f t="shared" ref="J3:J7" si="2">I3/24</f>
        <v>0</v>
      </c>
    </row>
    <row r="4" spans="1:10" ht="16.5" x14ac:dyDescent="0.25">
      <c r="A4" s="7" t="s">
        <v>25</v>
      </c>
      <c r="B4" s="41">
        <f>SUM(B5:B9)</f>
        <v>20</v>
      </c>
      <c r="D4" s="22"/>
      <c r="E4" s="22"/>
      <c r="F4" s="32"/>
      <c r="G4" s="21"/>
      <c r="H4" s="25">
        <f t="shared" si="0"/>
        <v>0</v>
      </c>
      <c r="I4" s="25">
        <f t="shared" si="1"/>
        <v>0</v>
      </c>
      <c r="J4" s="27">
        <f t="shared" si="2"/>
        <v>0</v>
      </c>
    </row>
    <row r="5" spans="1:10" x14ac:dyDescent="0.25">
      <c r="A5" s="32" t="s">
        <v>118</v>
      </c>
      <c r="B5" s="32">
        <v>4</v>
      </c>
      <c r="D5" s="22"/>
      <c r="E5" s="22"/>
      <c r="F5" s="32"/>
      <c r="G5" s="21"/>
      <c r="H5" s="25">
        <f t="shared" si="0"/>
        <v>0</v>
      </c>
      <c r="I5" s="25">
        <f t="shared" si="1"/>
        <v>0</v>
      </c>
      <c r="J5" s="27">
        <f t="shared" si="2"/>
        <v>0</v>
      </c>
    </row>
    <row r="6" spans="1:10" x14ac:dyDescent="0.25">
      <c r="A6" s="69" t="s">
        <v>119</v>
      </c>
      <c r="B6" s="32">
        <v>8</v>
      </c>
      <c r="D6" s="22"/>
      <c r="E6" s="22"/>
      <c r="F6" s="32"/>
      <c r="G6" s="21"/>
      <c r="H6" s="25">
        <f t="shared" si="0"/>
        <v>0</v>
      </c>
      <c r="I6" s="25">
        <f t="shared" si="1"/>
        <v>0</v>
      </c>
      <c r="J6" s="27">
        <f t="shared" si="2"/>
        <v>0</v>
      </c>
    </row>
    <row r="7" spans="1:10" x14ac:dyDescent="0.25">
      <c r="A7" s="32" t="s">
        <v>120</v>
      </c>
      <c r="B7" s="32">
        <v>2</v>
      </c>
      <c r="D7" s="22"/>
      <c r="E7" s="22"/>
      <c r="F7" s="32"/>
      <c r="G7" s="21"/>
      <c r="H7" s="25">
        <f t="shared" si="0"/>
        <v>0</v>
      </c>
      <c r="I7" s="25">
        <f t="shared" si="1"/>
        <v>0</v>
      </c>
      <c r="J7" s="27">
        <f t="shared" si="2"/>
        <v>0</v>
      </c>
    </row>
    <row r="8" spans="1:10" x14ac:dyDescent="0.25">
      <c r="A8" s="32" t="s">
        <v>121</v>
      </c>
      <c r="B8" s="32">
        <v>2</v>
      </c>
      <c r="D8" s="9"/>
      <c r="E8" s="9"/>
      <c r="F8" s="33"/>
      <c r="G8" s="22" t="s">
        <v>9</v>
      </c>
      <c r="H8" s="25">
        <f>SUM(H3:H7)</f>
        <v>0</v>
      </c>
      <c r="I8" s="25">
        <f>SUM(I3:I7)</f>
        <v>0</v>
      </c>
      <c r="J8" s="27">
        <f>SUM(J3:J7)</f>
        <v>0</v>
      </c>
    </row>
    <row r="9" spans="1:10" x14ac:dyDescent="0.25">
      <c r="A9" s="32" t="s">
        <v>122</v>
      </c>
      <c r="B9" s="32">
        <v>4</v>
      </c>
      <c r="D9" s="9"/>
      <c r="E9" s="9"/>
      <c r="F9" s="9"/>
      <c r="G9" s="9"/>
      <c r="H9" s="9"/>
      <c r="I9" s="9"/>
      <c r="J9" s="9"/>
    </row>
    <row r="10" spans="1:10" ht="16.5" x14ac:dyDescent="0.25">
      <c r="A10" s="52" t="s">
        <v>123</v>
      </c>
      <c r="B10" s="7">
        <f>SUM(B11:B13)</f>
        <v>20</v>
      </c>
      <c r="D10" s="128" t="s">
        <v>128</v>
      </c>
      <c r="E10" s="128"/>
      <c r="F10" s="9"/>
      <c r="G10" s="38" t="s">
        <v>39</v>
      </c>
      <c r="H10" s="9"/>
      <c r="I10" s="9"/>
      <c r="J10" s="9"/>
    </row>
    <row r="11" spans="1:10" ht="16.5" x14ac:dyDescent="0.25">
      <c r="A11" s="69" t="s">
        <v>124</v>
      </c>
      <c r="B11" s="32">
        <v>2</v>
      </c>
      <c r="D11" s="29" t="s">
        <v>11</v>
      </c>
      <c r="E11" s="30" t="s">
        <v>12</v>
      </c>
      <c r="F11" s="9"/>
      <c r="G11" s="10"/>
      <c r="H11" s="9" t="s">
        <v>40</v>
      </c>
      <c r="I11" s="9"/>
      <c r="J11" s="9"/>
    </row>
    <row r="12" spans="1:10" ht="15.75" x14ac:dyDescent="0.25">
      <c r="A12" s="69" t="s">
        <v>126</v>
      </c>
      <c r="B12" s="32">
        <v>2</v>
      </c>
      <c r="D12" s="19" t="s">
        <v>29</v>
      </c>
      <c r="E12" s="20">
        <f>SUM(E13:E14)</f>
        <v>40</v>
      </c>
      <c r="F12" s="9"/>
      <c r="G12" s="11"/>
      <c r="H12" s="9" t="s">
        <v>41</v>
      </c>
      <c r="I12" s="9"/>
      <c r="J12" s="9"/>
    </row>
    <row r="13" spans="1:10" x14ac:dyDescent="0.25">
      <c r="A13" s="69" t="s">
        <v>125</v>
      </c>
      <c r="B13" s="32">
        <v>16</v>
      </c>
      <c r="D13" s="37" t="s">
        <v>25</v>
      </c>
      <c r="E13" s="39">
        <f>B3</f>
        <v>40</v>
      </c>
      <c r="F13" s="9"/>
      <c r="G13" s="12"/>
      <c r="H13" s="9" t="s">
        <v>42</v>
      </c>
      <c r="I13" s="9"/>
      <c r="J13" s="9"/>
    </row>
    <row r="14" spans="1:10" ht="16.5" x14ac:dyDescent="0.25">
      <c r="A14" s="7" t="s">
        <v>156</v>
      </c>
      <c r="B14" s="41">
        <f>SUM(B15)</f>
        <v>0</v>
      </c>
      <c r="D14" s="37" t="s">
        <v>163</v>
      </c>
      <c r="E14" s="39">
        <f>B14</f>
        <v>0</v>
      </c>
      <c r="F14" s="9"/>
      <c r="G14" s="9"/>
      <c r="H14" s="9"/>
      <c r="I14" s="9"/>
      <c r="J14" s="9"/>
    </row>
    <row r="15" spans="1:10" x14ac:dyDescent="0.25">
      <c r="A15" s="5" t="s">
        <v>157</v>
      </c>
      <c r="B15" s="23">
        <f>I3</f>
        <v>0</v>
      </c>
      <c r="D15" s="9"/>
      <c r="E15" s="9"/>
      <c r="F15" s="9"/>
      <c r="G15" s="9"/>
      <c r="H15" s="9"/>
      <c r="I15" s="9"/>
      <c r="J15" s="9"/>
    </row>
    <row r="16" spans="1:10" x14ac:dyDescent="0.25">
      <c r="D16" s="9"/>
      <c r="E16" s="9"/>
      <c r="F16" s="9"/>
      <c r="G16" s="9"/>
      <c r="H16" s="9"/>
      <c r="I16" s="9"/>
      <c r="J16" s="9"/>
    </row>
    <row r="17" spans="1:10" x14ac:dyDescent="0.25">
      <c r="A17" s="54" t="s">
        <v>129</v>
      </c>
      <c r="F17" s="9"/>
      <c r="G17" s="9"/>
      <c r="H17" s="9"/>
      <c r="I17" s="9"/>
      <c r="J17" s="9"/>
    </row>
    <row r="18" spans="1:10" x14ac:dyDescent="0.25">
      <c r="F18" s="9"/>
      <c r="G18" s="9"/>
      <c r="H18" s="9"/>
      <c r="I18" s="9"/>
      <c r="J18" s="9"/>
    </row>
  </sheetData>
  <mergeCells count="3">
    <mergeCell ref="A1:B1"/>
    <mergeCell ref="D1:J1"/>
    <mergeCell ref="D10:E10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:J27"/>
  <sheetViews>
    <sheetView showGridLines="0" workbookViewId="0">
      <selection activeCell="L23" sqref="L23"/>
    </sheetView>
  </sheetViews>
  <sheetFormatPr defaultRowHeight="15" x14ac:dyDescent="0.25"/>
  <cols>
    <col min="1" max="1" width="47.140625" bestFit="1" customWidth="1"/>
    <col min="2" max="2" width="19.7109375" bestFit="1" customWidth="1"/>
    <col min="3" max="3" width="5.42578125" customWidth="1"/>
    <col min="4" max="4" width="30.28515625" bestFit="1" customWidth="1"/>
    <col min="5" max="5" width="41.28515625" bestFit="1" customWidth="1"/>
    <col min="6" max="6" width="12.42578125" bestFit="1" customWidth="1"/>
    <col min="7" max="7" width="9.42578125" style="9" bestFit="1" customWidth="1"/>
    <col min="8" max="8" width="8.28515625" bestFit="1" customWidth="1"/>
    <col min="9" max="9" width="6" bestFit="1" customWidth="1"/>
    <col min="10" max="10" width="7.140625" customWidth="1"/>
    <col min="11" max="11" width="4.140625" customWidth="1"/>
  </cols>
  <sheetData>
    <row r="1" spans="1:10" ht="16.5" x14ac:dyDescent="0.25">
      <c r="A1" s="128" t="s">
        <v>38</v>
      </c>
      <c r="B1" s="128"/>
      <c r="D1" s="129" t="s">
        <v>37</v>
      </c>
      <c r="E1" s="130"/>
      <c r="F1" s="130"/>
      <c r="G1" s="130"/>
      <c r="H1" s="130"/>
      <c r="I1" s="130"/>
      <c r="J1" s="131"/>
    </row>
    <row r="2" spans="1:10" ht="17.25" customHeight="1" x14ac:dyDescent="0.25">
      <c r="A2" s="29" t="s">
        <v>11</v>
      </c>
      <c r="B2" s="30" t="s">
        <v>12</v>
      </c>
      <c r="D2" s="35" t="s">
        <v>61</v>
      </c>
      <c r="E2" s="35" t="s">
        <v>62</v>
      </c>
      <c r="F2" s="36" t="s">
        <v>8</v>
      </c>
      <c r="G2" s="35" t="s">
        <v>4</v>
      </c>
      <c r="H2" s="35" t="s">
        <v>5</v>
      </c>
      <c r="I2" s="35" t="s">
        <v>6</v>
      </c>
      <c r="J2" s="35" t="s">
        <v>7</v>
      </c>
    </row>
    <row r="3" spans="1:10" ht="15.75" x14ac:dyDescent="0.25">
      <c r="A3" s="31" t="s">
        <v>36</v>
      </c>
      <c r="B3" s="40">
        <f>B4+B6+B15+B24+B26</f>
        <v>79</v>
      </c>
      <c r="D3" s="8" t="s">
        <v>2</v>
      </c>
      <c r="E3" s="8" t="s">
        <v>60</v>
      </c>
      <c r="F3" s="32">
        <v>25</v>
      </c>
      <c r="G3" s="3">
        <v>0</v>
      </c>
      <c r="H3" s="25">
        <f>F3*G3</f>
        <v>0</v>
      </c>
      <c r="I3" s="26">
        <f>H3/60</f>
        <v>0</v>
      </c>
      <c r="J3" s="27">
        <f>I3/24</f>
        <v>0</v>
      </c>
    </row>
    <row r="4" spans="1:10" ht="16.5" x14ac:dyDescent="0.25">
      <c r="A4" s="7" t="s">
        <v>17</v>
      </c>
      <c r="B4" s="41">
        <f>SUM(B5)</f>
        <v>24</v>
      </c>
      <c r="D4" s="8" t="s">
        <v>10</v>
      </c>
      <c r="E4" s="8" t="s">
        <v>33</v>
      </c>
      <c r="F4" s="32">
        <v>120</v>
      </c>
      <c r="G4" s="3">
        <f>[1]CAPA!K12</f>
        <v>0</v>
      </c>
      <c r="H4" s="25">
        <f t="shared" ref="H4:H7" si="0">F4*G4</f>
        <v>0</v>
      </c>
      <c r="I4" s="26">
        <f t="shared" ref="I4:I7" si="1">H4/60</f>
        <v>0</v>
      </c>
      <c r="J4" s="27">
        <f t="shared" ref="J4:J7" si="2">I4/24</f>
        <v>0</v>
      </c>
    </row>
    <row r="5" spans="1:10" ht="17.25" customHeight="1" x14ac:dyDescent="0.25">
      <c r="A5" s="2" t="s">
        <v>18</v>
      </c>
      <c r="B5" s="4">
        <v>24</v>
      </c>
      <c r="D5" s="8" t="s">
        <v>3</v>
      </c>
      <c r="E5" s="8" t="s">
        <v>63</v>
      </c>
      <c r="F5" s="32">
        <v>30</v>
      </c>
      <c r="G5" s="3">
        <f>[1]CAPA!L12</f>
        <v>0</v>
      </c>
      <c r="H5" s="25">
        <f t="shared" si="0"/>
        <v>0</v>
      </c>
      <c r="I5" s="26">
        <f t="shared" si="1"/>
        <v>0</v>
      </c>
      <c r="J5" s="27">
        <f t="shared" si="2"/>
        <v>0</v>
      </c>
    </row>
    <row r="6" spans="1:10" ht="16.5" x14ac:dyDescent="0.25">
      <c r="A6" s="7" t="s">
        <v>19</v>
      </c>
      <c r="B6" s="41">
        <f>SUM(B7:B14)</f>
        <v>35</v>
      </c>
      <c r="D6" s="22" t="s">
        <v>159</v>
      </c>
      <c r="E6" s="22" t="s">
        <v>160</v>
      </c>
      <c r="F6" s="32">
        <v>60</v>
      </c>
      <c r="G6" s="21">
        <v>0</v>
      </c>
      <c r="H6" s="25">
        <f t="shared" si="0"/>
        <v>0</v>
      </c>
      <c r="I6" s="26">
        <f t="shared" si="1"/>
        <v>0</v>
      </c>
      <c r="J6" s="27">
        <f t="shared" si="2"/>
        <v>0</v>
      </c>
    </row>
    <row r="7" spans="1:10" ht="17.25" customHeight="1" x14ac:dyDescent="0.25">
      <c r="A7" s="2" t="s">
        <v>30</v>
      </c>
      <c r="B7" s="4">
        <v>4</v>
      </c>
      <c r="D7" s="22" t="s">
        <v>161</v>
      </c>
      <c r="E7" s="22" t="s">
        <v>160</v>
      </c>
      <c r="F7" s="32">
        <v>60</v>
      </c>
      <c r="G7" s="21">
        <v>0</v>
      </c>
      <c r="H7" s="25">
        <f t="shared" si="0"/>
        <v>0</v>
      </c>
      <c r="I7" s="26">
        <f t="shared" si="1"/>
        <v>0</v>
      </c>
      <c r="J7" s="27">
        <f t="shared" si="2"/>
        <v>0</v>
      </c>
    </row>
    <row r="8" spans="1:10" x14ac:dyDescent="0.25">
      <c r="A8" s="2" t="s">
        <v>20</v>
      </c>
      <c r="B8" s="4">
        <v>1</v>
      </c>
      <c r="D8" s="9"/>
      <c r="E8" s="9"/>
      <c r="F8" s="33"/>
      <c r="G8" s="8" t="s">
        <v>9</v>
      </c>
      <c r="H8" s="25">
        <f>SUM(H3:H5)</f>
        <v>0</v>
      </c>
      <c r="I8" s="34">
        <f>SUM(I3:I5)</f>
        <v>0</v>
      </c>
      <c r="J8" s="27">
        <f>SUM(J3:J5)</f>
        <v>0</v>
      </c>
    </row>
    <row r="9" spans="1:10" x14ac:dyDescent="0.25">
      <c r="A9" s="3" t="s">
        <v>31</v>
      </c>
      <c r="B9" s="13">
        <v>2</v>
      </c>
    </row>
    <row r="10" spans="1:10" x14ac:dyDescent="0.25">
      <c r="A10" s="3" t="s">
        <v>21</v>
      </c>
      <c r="B10" s="13">
        <v>2</v>
      </c>
    </row>
    <row r="11" spans="1:10" x14ac:dyDescent="0.25">
      <c r="A11" s="3" t="s">
        <v>32</v>
      </c>
      <c r="B11" s="13">
        <v>2</v>
      </c>
    </row>
    <row r="12" spans="1:10" ht="16.5" x14ac:dyDescent="0.25">
      <c r="A12" s="3" t="s">
        <v>22</v>
      </c>
      <c r="B12" s="13">
        <v>8</v>
      </c>
      <c r="D12" s="128" t="s">
        <v>88</v>
      </c>
      <c r="E12" s="128"/>
      <c r="G12" s="38" t="s">
        <v>39</v>
      </c>
      <c r="H12" s="9"/>
      <c r="I12" s="9"/>
      <c r="J12" s="9"/>
    </row>
    <row r="13" spans="1:10" ht="16.5" x14ac:dyDescent="0.25">
      <c r="A13" s="3" t="s">
        <v>23</v>
      </c>
      <c r="B13" s="13">
        <v>4</v>
      </c>
      <c r="D13" s="29" t="s">
        <v>11</v>
      </c>
      <c r="E13" s="30" t="s">
        <v>12</v>
      </c>
      <c r="G13" s="10"/>
      <c r="H13" s="9" t="s">
        <v>40</v>
      </c>
      <c r="I13" s="9"/>
      <c r="J13" s="9"/>
    </row>
    <row r="14" spans="1:10" ht="15.75" x14ac:dyDescent="0.25">
      <c r="A14" s="3" t="s">
        <v>24</v>
      </c>
      <c r="B14" s="13">
        <v>12</v>
      </c>
      <c r="D14" s="19" t="s">
        <v>29</v>
      </c>
      <c r="E14" s="20">
        <f>SUM(E15:E19)</f>
        <v>79</v>
      </c>
      <c r="G14" s="11"/>
      <c r="H14" s="9" t="s">
        <v>41</v>
      </c>
      <c r="I14" s="9"/>
      <c r="J14" s="9"/>
    </row>
    <row r="15" spans="1:10" ht="16.5" x14ac:dyDescent="0.25">
      <c r="A15" s="7" t="s">
        <v>25</v>
      </c>
      <c r="B15" s="41">
        <f>SUM(B16:B23)</f>
        <v>20</v>
      </c>
      <c r="D15" s="37" t="s">
        <v>17</v>
      </c>
      <c r="E15" s="39">
        <f>SUM(B4)</f>
        <v>24</v>
      </c>
      <c r="G15" s="12"/>
      <c r="H15" s="9" t="s">
        <v>42</v>
      </c>
      <c r="I15" s="9"/>
      <c r="J15" s="9"/>
    </row>
    <row r="16" spans="1:10" x14ac:dyDescent="0.25">
      <c r="A16" s="2" t="s">
        <v>30</v>
      </c>
      <c r="B16" s="14">
        <v>4</v>
      </c>
      <c r="D16" s="37" t="s">
        <v>19</v>
      </c>
      <c r="E16" s="39">
        <f>SUM(B6)</f>
        <v>35</v>
      </c>
    </row>
    <row r="17" spans="1:5" x14ac:dyDescent="0.25">
      <c r="A17" s="5" t="s">
        <v>20</v>
      </c>
      <c r="B17" s="6">
        <f>I5</f>
        <v>0</v>
      </c>
      <c r="D17" s="37" t="s">
        <v>25</v>
      </c>
      <c r="E17" s="39">
        <f>SUM(B15)</f>
        <v>20</v>
      </c>
    </row>
    <row r="18" spans="1:5" x14ac:dyDescent="0.25">
      <c r="A18" s="5" t="s">
        <v>34</v>
      </c>
      <c r="B18" s="6">
        <f>I4</f>
        <v>0</v>
      </c>
      <c r="D18" s="37" t="s">
        <v>162</v>
      </c>
      <c r="E18" s="39">
        <f>B24</f>
        <v>0</v>
      </c>
    </row>
    <row r="19" spans="1:5" x14ac:dyDescent="0.25">
      <c r="A19" s="5" t="s">
        <v>35</v>
      </c>
      <c r="B19" s="6">
        <f>I3</f>
        <v>0</v>
      </c>
      <c r="D19" s="37" t="s">
        <v>163</v>
      </c>
      <c r="E19" s="39">
        <f>B26</f>
        <v>0</v>
      </c>
    </row>
    <row r="20" spans="1:5" x14ac:dyDescent="0.25">
      <c r="A20" s="3" t="s">
        <v>23</v>
      </c>
      <c r="B20" s="15">
        <v>4</v>
      </c>
    </row>
    <row r="21" spans="1:5" x14ac:dyDescent="0.25">
      <c r="A21" s="3" t="s">
        <v>26</v>
      </c>
      <c r="B21" s="15">
        <v>4</v>
      </c>
    </row>
    <row r="22" spans="1:5" x14ac:dyDescent="0.25">
      <c r="A22" s="3" t="s">
        <v>27</v>
      </c>
      <c r="B22" s="15">
        <v>8</v>
      </c>
    </row>
    <row r="23" spans="1:5" x14ac:dyDescent="0.25">
      <c r="A23" s="3" t="s">
        <v>64</v>
      </c>
      <c r="B23" s="15">
        <v>0</v>
      </c>
    </row>
    <row r="24" spans="1:5" ht="16.5" x14ac:dyDescent="0.25">
      <c r="A24" s="7" t="s">
        <v>155</v>
      </c>
      <c r="B24" s="41">
        <f>SUM(B25)</f>
        <v>0</v>
      </c>
    </row>
    <row r="25" spans="1:5" x14ac:dyDescent="0.25">
      <c r="A25" s="5" t="s">
        <v>64</v>
      </c>
      <c r="B25" s="24">
        <f>I6</f>
        <v>0</v>
      </c>
    </row>
    <row r="26" spans="1:5" ht="16.5" x14ac:dyDescent="0.25">
      <c r="A26" s="7" t="s">
        <v>156</v>
      </c>
      <c r="B26" s="41">
        <f>SUM(B27)</f>
        <v>0</v>
      </c>
    </row>
    <row r="27" spans="1:5" x14ac:dyDescent="0.25">
      <c r="A27" s="5" t="s">
        <v>157</v>
      </c>
      <c r="B27" s="24">
        <f>I7</f>
        <v>0</v>
      </c>
    </row>
  </sheetData>
  <mergeCells count="3">
    <mergeCell ref="A1:B1"/>
    <mergeCell ref="D12:E12"/>
    <mergeCell ref="D1:J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J25"/>
  <sheetViews>
    <sheetView showGridLines="0" topLeftCell="B1" workbookViewId="0">
      <selection activeCell="D4" sqref="D4:J5"/>
    </sheetView>
  </sheetViews>
  <sheetFormatPr defaultRowHeight="15" x14ac:dyDescent="0.25"/>
  <cols>
    <col min="1" max="1" width="64.140625" customWidth="1"/>
    <col min="2" max="2" width="19.7109375" bestFit="1" customWidth="1"/>
    <col min="3" max="3" width="2.42578125" customWidth="1"/>
    <col min="4" max="4" width="40" bestFit="1" customWidth="1"/>
    <col min="5" max="5" width="19.7109375" bestFit="1" customWidth="1"/>
    <col min="6" max="6" width="12.5703125" bestFit="1" customWidth="1"/>
    <col min="7" max="7" width="9.85546875" bestFit="1" customWidth="1"/>
    <col min="8" max="8" width="9.28515625" customWidth="1"/>
    <col min="9" max="9" width="6" bestFit="1" customWidth="1"/>
    <col min="10" max="10" width="5.5703125" bestFit="1" customWidth="1"/>
  </cols>
  <sheetData>
    <row r="1" spans="1:10" ht="16.5" x14ac:dyDescent="0.25">
      <c r="A1" s="128" t="s">
        <v>38</v>
      </c>
      <c r="B1" s="128"/>
      <c r="D1" s="129" t="s">
        <v>37</v>
      </c>
      <c r="E1" s="130"/>
      <c r="F1" s="130"/>
      <c r="G1" s="130"/>
      <c r="H1" s="130"/>
      <c r="I1" s="130"/>
      <c r="J1" s="131"/>
    </row>
    <row r="2" spans="1:10" ht="16.5" x14ac:dyDescent="0.25">
      <c r="A2" s="29" t="s">
        <v>11</v>
      </c>
      <c r="B2" s="30" t="s">
        <v>12</v>
      </c>
      <c r="D2" s="35" t="s">
        <v>0</v>
      </c>
      <c r="E2" s="35" t="s">
        <v>1</v>
      </c>
      <c r="F2" s="36" t="s">
        <v>8</v>
      </c>
      <c r="G2" s="35" t="s">
        <v>4</v>
      </c>
      <c r="H2" s="35" t="s">
        <v>5</v>
      </c>
      <c r="I2" s="35" t="s">
        <v>6</v>
      </c>
      <c r="J2" s="35" t="s">
        <v>7</v>
      </c>
    </row>
    <row r="3" spans="1:10" ht="15.75" x14ac:dyDescent="0.25">
      <c r="A3" s="31" t="s">
        <v>102</v>
      </c>
      <c r="B3" s="40" t="e">
        <f>SUM(B5,B7,B10,B14)</f>
        <v>#VALUE!</v>
      </c>
      <c r="D3" s="22" t="s">
        <v>97</v>
      </c>
      <c r="E3" s="22" t="s">
        <v>96</v>
      </c>
      <c r="F3" s="48">
        <v>60</v>
      </c>
      <c r="G3" s="21" t="str">
        <f>CAPA!K7</f>
        <v>Muni WS</v>
      </c>
      <c r="H3" s="25" t="e">
        <f>F3*G3</f>
        <v>#VALUE!</v>
      </c>
      <c r="I3" s="26" t="e">
        <f>H3/60</f>
        <v>#VALUE!</v>
      </c>
      <c r="J3" s="27" t="e">
        <f>I3/24</f>
        <v>#VALUE!</v>
      </c>
    </row>
    <row r="4" spans="1:10" ht="15.75" x14ac:dyDescent="0.25">
      <c r="A4" s="31" t="s">
        <v>51</v>
      </c>
      <c r="B4" s="40" t="e">
        <f>SUM(B5,B7,B10)</f>
        <v>#VALUE!</v>
      </c>
      <c r="D4" s="22" t="s">
        <v>159</v>
      </c>
      <c r="E4" s="22" t="s">
        <v>160</v>
      </c>
      <c r="F4" s="32">
        <v>60</v>
      </c>
      <c r="G4" s="21">
        <v>0</v>
      </c>
      <c r="H4" s="25">
        <f t="shared" ref="H4:H5" si="0">F4*G4</f>
        <v>0</v>
      </c>
      <c r="I4" s="26">
        <f t="shared" ref="I4:I5" si="1">H4/60</f>
        <v>0</v>
      </c>
      <c r="J4" s="27">
        <f t="shared" ref="J4:J5" si="2">I4/24</f>
        <v>0</v>
      </c>
    </row>
    <row r="5" spans="1:10" ht="16.5" x14ac:dyDescent="0.25">
      <c r="A5" s="7" t="s">
        <v>17</v>
      </c>
      <c r="B5" s="41">
        <f>SUM(B6)</f>
        <v>24</v>
      </c>
      <c r="D5" s="22" t="s">
        <v>161</v>
      </c>
      <c r="E5" s="22" t="s">
        <v>160</v>
      </c>
      <c r="F5" s="32">
        <v>60</v>
      </c>
      <c r="G5" s="21">
        <v>0</v>
      </c>
      <c r="H5" s="25">
        <f t="shared" si="0"/>
        <v>0</v>
      </c>
      <c r="I5" s="26">
        <f t="shared" si="1"/>
        <v>0</v>
      </c>
      <c r="J5" s="27">
        <f t="shared" si="2"/>
        <v>0</v>
      </c>
    </row>
    <row r="6" spans="1:10" x14ac:dyDescent="0.25">
      <c r="A6" s="2" t="s">
        <v>18</v>
      </c>
      <c r="B6" s="4">
        <v>24</v>
      </c>
      <c r="G6" s="22" t="s">
        <v>9</v>
      </c>
      <c r="H6" s="25" t="e">
        <f>SUM(H3:H3)</f>
        <v>#VALUE!</v>
      </c>
      <c r="I6" s="27" t="e">
        <f>SUM(I3:I3)</f>
        <v>#VALUE!</v>
      </c>
      <c r="J6" s="27" t="e">
        <f t="shared" ref="J6" si="3">I6/24</f>
        <v>#VALUE!</v>
      </c>
    </row>
    <row r="7" spans="1:10" ht="16.5" x14ac:dyDescent="0.25">
      <c r="A7" s="7" t="s">
        <v>103</v>
      </c>
      <c r="B7" s="41" t="e">
        <f>SUM(B8:B9)</f>
        <v>#VALUE!</v>
      </c>
    </row>
    <row r="8" spans="1:10" x14ac:dyDescent="0.25">
      <c r="A8" s="2" t="s">
        <v>74</v>
      </c>
      <c r="B8" s="4">
        <v>5</v>
      </c>
    </row>
    <row r="9" spans="1:10" ht="30" x14ac:dyDescent="0.25">
      <c r="A9" s="101" t="s">
        <v>95</v>
      </c>
      <c r="B9" s="6" t="e">
        <f>I3</f>
        <v>#VALUE!</v>
      </c>
    </row>
    <row r="10" spans="1:10" ht="16.5" x14ac:dyDescent="0.25">
      <c r="A10" s="52" t="s">
        <v>55</v>
      </c>
      <c r="B10" s="41">
        <f>SUM(B11:B13)</f>
        <v>4</v>
      </c>
      <c r="D10" s="128" t="s">
        <v>106</v>
      </c>
      <c r="E10" s="128"/>
      <c r="G10" s="38" t="s">
        <v>39</v>
      </c>
      <c r="H10" s="9"/>
    </row>
    <row r="11" spans="1:10" ht="17.25" customHeight="1" x14ac:dyDescent="0.25">
      <c r="A11" s="49" t="s">
        <v>56</v>
      </c>
      <c r="B11" s="14">
        <v>0</v>
      </c>
      <c r="D11" s="29" t="s">
        <v>11</v>
      </c>
      <c r="E11" s="29" t="s">
        <v>12</v>
      </c>
      <c r="G11" s="10"/>
      <c r="H11" s="9" t="s">
        <v>40</v>
      </c>
    </row>
    <row r="12" spans="1:10" ht="30" x14ac:dyDescent="0.25">
      <c r="A12" s="50" t="s">
        <v>99</v>
      </c>
      <c r="B12" s="4">
        <v>0</v>
      </c>
      <c r="D12" s="1" t="s">
        <v>45</v>
      </c>
      <c r="E12" s="42" t="e">
        <f>SUM(E13:E18)</f>
        <v>#VALUE!</v>
      </c>
      <c r="G12" s="11"/>
      <c r="H12" s="9" t="s">
        <v>41</v>
      </c>
    </row>
    <row r="13" spans="1:10" ht="15.75" x14ac:dyDescent="0.25">
      <c r="A13" s="50" t="s">
        <v>98</v>
      </c>
      <c r="B13" s="4">
        <v>4</v>
      </c>
      <c r="D13" s="37" t="s">
        <v>17</v>
      </c>
      <c r="E13" s="43">
        <f>B6</f>
        <v>24</v>
      </c>
      <c r="G13" s="12"/>
      <c r="H13" s="9" t="s">
        <v>42</v>
      </c>
    </row>
    <row r="14" spans="1:10" ht="16.5" x14ac:dyDescent="0.25">
      <c r="A14" s="53" t="s">
        <v>54</v>
      </c>
      <c r="B14" s="41">
        <f>SUM(B15:B17)</f>
        <v>0</v>
      </c>
      <c r="D14" s="37" t="s">
        <v>104</v>
      </c>
      <c r="E14" s="43" t="e">
        <f>B7</f>
        <v>#VALUE!</v>
      </c>
    </row>
    <row r="15" spans="1:10" ht="30" x14ac:dyDescent="0.25">
      <c r="A15" s="51" t="s">
        <v>57</v>
      </c>
      <c r="B15" s="15">
        <v>0</v>
      </c>
      <c r="D15" s="44" t="s">
        <v>53</v>
      </c>
      <c r="E15" s="43">
        <f>B10</f>
        <v>4</v>
      </c>
    </row>
    <row r="16" spans="1:10" x14ac:dyDescent="0.25">
      <c r="A16" s="51" t="s">
        <v>58</v>
      </c>
      <c r="B16" s="13">
        <v>0</v>
      </c>
      <c r="D16" s="44" t="s">
        <v>54</v>
      </c>
      <c r="E16" s="39">
        <f>B14</f>
        <v>0</v>
      </c>
    </row>
    <row r="17" spans="1:5" x14ac:dyDescent="0.25">
      <c r="A17" s="51" t="s">
        <v>59</v>
      </c>
      <c r="B17" s="13">
        <v>0</v>
      </c>
      <c r="D17" s="37" t="s">
        <v>162</v>
      </c>
      <c r="E17" s="39">
        <f>B18</f>
        <v>0</v>
      </c>
    </row>
    <row r="18" spans="1:5" ht="16.5" x14ac:dyDescent="0.25">
      <c r="A18" s="7" t="s">
        <v>155</v>
      </c>
      <c r="B18" s="41">
        <f>SUM(B19)</f>
        <v>0</v>
      </c>
      <c r="D18" s="37" t="s">
        <v>163</v>
      </c>
      <c r="E18" s="39">
        <f>B20</f>
        <v>0</v>
      </c>
    </row>
    <row r="19" spans="1:5" x14ac:dyDescent="0.25">
      <c r="A19" s="5" t="s">
        <v>64</v>
      </c>
      <c r="B19" s="24">
        <f>I4</f>
        <v>0</v>
      </c>
    </row>
    <row r="20" spans="1:5" ht="16.5" x14ac:dyDescent="0.25">
      <c r="A20" s="7" t="s">
        <v>156</v>
      </c>
      <c r="B20" s="41">
        <f>SUM(B21)</f>
        <v>0</v>
      </c>
    </row>
    <row r="21" spans="1:5" x14ac:dyDescent="0.25">
      <c r="A21" s="5" t="s">
        <v>157</v>
      </c>
      <c r="B21" s="24">
        <f>I5</f>
        <v>0</v>
      </c>
    </row>
    <row r="23" spans="1:5" x14ac:dyDescent="0.25">
      <c r="A23" s="54" t="s">
        <v>100</v>
      </c>
    </row>
    <row r="25" spans="1:5" x14ac:dyDescent="0.25">
      <c r="A25" t="s">
        <v>107</v>
      </c>
    </row>
  </sheetData>
  <mergeCells count="3">
    <mergeCell ref="A1:B1"/>
    <mergeCell ref="D1:J1"/>
    <mergeCell ref="D10:E10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J23"/>
  <sheetViews>
    <sheetView showGridLines="0" workbookViewId="0">
      <selection activeCell="B4" sqref="B4"/>
    </sheetView>
  </sheetViews>
  <sheetFormatPr defaultRowHeight="15" x14ac:dyDescent="0.25"/>
  <cols>
    <col min="1" max="1" width="63.42578125" customWidth="1"/>
    <col min="2" max="2" width="21.140625" customWidth="1"/>
    <col min="3" max="3" width="2.42578125" customWidth="1"/>
    <col min="4" max="4" width="36" customWidth="1"/>
    <col min="5" max="5" width="19.7109375" bestFit="1" customWidth="1"/>
    <col min="6" max="6" width="12.5703125" bestFit="1" customWidth="1"/>
    <col min="7" max="7" width="9.85546875" bestFit="1" customWidth="1"/>
    <col min="8" max="8" width="9.28515625" customWidth="1"/>
    <col min="9" max="9" width="6.5703125" bestFit="1" customWidth="1"/>
    <col min="10" max="10" width="5.5703125" bestFit="1" customWidth="1"/>
  </cols>
  <sheetData>
    <row r="1" spans="1:10" ht="16.5" x14ac:dyDescent="0.25">
      <c r="A1" s="128" t="s">
        <v>38</v>
      </c>
      <c r="B1" s="128"/>
      <c r="D1" s="129" t="s">
        <v>37</v>
      </c>
      <c r="E1" s="130"/>
      <c r="F1" s="130"/>
      <c r="G1" s="130"/>
      <c r="H1" s="130"/>
      <c r="I1" s="130"/>
      <c r="J1" s="131"/>
    </row>
    <row r="2" spans="1:10" ht="16.5" x14ac:dyDescent="0.25">
      <c r="A2" s="29" t="s">
        <v>11</v>
      </c>
      <c r="B2" s="30" t="s">
        <v>12</v>
      </c>
      <c r="D2" s="35" t="s">
        <v>0</v>
      </c>
      <c r="E2" s="35" t="s">
        <v>1</v>
      </c>
      <c r="F2" s="36" t="s">
        <v>8</v>
      </c>
      <c r="G2" s="35" t="s">
        <v>4</v>
      </c>
      <c r="H2" s="35" t="s">
        <v>5</v>
      </c>
      <c r="I2" s="35" t="s">
        <v>6</v>
      </c>
      <c r="J2" s="35" t="s">
        <v>7</v>
      </c>
    </row>
    <row r="3" spans="1:10" ht="15.75" x14ac:dyDescent="0.25">
      <c r="A3" s="31" t="s">
        <v>101</v>
      </c>
      <c r="B3" s="40">
        <f>SUM(B5,B7,B9,B13,B17,B19)</f>
        <v>28</v>
      </c>
      <c r="D3" s="22" t="s">
        <v>97</v>
      </c>
      <c r="E3" s="22" t="s">
        <v>96</v>
      </c>
      <c r="F3" s="48">
        <v>60</v>
      </c>
      <c r="G3" s="21">
        <v>0</v>
      </c>
      <c r="H3" s="25">
        <f>F3*G3</f>
        <v>0</v>
      </c>
      <c r="I3" s="26">
        <f>H3/60</f>
        <v>0</v>
      </c>
      <c r="J3" s="27">
        <f>I3/24</f>
        <v>0</v>
      </c>
    </row>
    <row r="4" spans="1:10" ht="15.75" x14ac:dyDescent="0.25">
      <c r="A4" s="31" t="s">
        <v>51</v>
      </c>
      <c r="B4" s="40">
        <f>SUM(B5,B7,B9)</f>
        <v>28</v>
      </c>
      <c r="D4" s="22" t="s">
        <v>159</v>
      </c>
      <c r="E4" s="22" t="s">
        <v>160</v>
      </c>
      <c r="F4" s="32">
        <v>60</v>
      </c>
      <c r="G4" s="21">
        <v>0</v>
      </c>
      <c r="H4" s="25">
        <f t="shared" ref="H4:H5" si="0">F4*G4</f>
        <v>0</v>
      </c>
      <c r="I4" s="26">
        <f t="shared" ref="I4:I5" si="1">H4/60</f>
        <v>0</v>
      </c>
      <c r="J4" s="27">
        <f t="shared" ref="J4:J6" si="2">I4/24</f>
        <v>0</v>
      </c>
    </row>
    <row r="5" spans="1:10" ht="16.5" x14ac:dyDescent="0.25">
      <c r="A5" s="7" t="s">
        <v>17</v>
      </c>
      <c r="B5" s="41">
        <f>SUM(B6)</f>
        <v>24</v>
      </c>
      <c r="D5" s="22" t="s">
        <v>161</v>
      </c>
      <c r="E5" s="22" t="s">
        <v>160</v>
      </c>
      <c r="F5" s="32">
        <v>60</v>
      </c>
      <c r="G5" s="21">
        <v>0</v>
      </c>
      <c r="H5" s="25">
        <f t="shared" si="0"/>
        <v>0</v>
      </c>
      <c r="I5" s="26">
        <f t="shared" si="1"/>
        <v>0</v>
      </c>
      <c r="J5" s="27">
        <f t="shared" si="2"/>
        <v>0</v>
      </c>
    </row>
    <row r="6" spans="1:10" x14ac:dyDescent="0.25">
      <c r="A6" s="2" t="s">
        <v>18</v>
      </c>
      <c r="B6" s="4">
        <v>24</v>
      </c>
      <c r="G6" s="22" t="s">
        <v>9</v>
      </c>
      <c r="H6" s="25">
        <f>SUM(H3:H3)</f>
        <v>0</v>
      </c>
      <c r="I6" s="27">
        <f>SUM(I3:I3)</f>
        <v>0</v>
      </c>
      <c r="J6" s="27">
        <f t="shared" si="2"/>
        <v>0</v>
      </c>
    </row>
    <row r="7" spans="1:10" ht="16.5" x14ac:dyDescent="0.25">
      <c r="A7" s="7" t="s">
        <v>52</v>
      </c>
      <c r="B7" s="41">
        <f>SUM(B8:B8)</f>
        <v>0</v>
      </c>
    </row>
    <row r="8" spans="1:10" ht="30" x14ac:dyDescent="0.25">
      <c r="A8" s="101" t="s">
        <v>95</v>
      </c>
      <c r="B8" s="6">
        <f>I3</f>
        <v>0</v>
      </c>
    </row>
    <row r="9" spans="1:10" ht="16.5" x14ac:dyDescent="0.25">
      <c r="A9" s="52" t="s">
        <v>55</v>
      </c>
      <c r="B9" s="41">
        <f>SUM(B10:B12)</f>
        <v>4</v>
      </c>
      <c r="D9" s="128" t="s">
        <v>105</v>
      </c>
      <c r="E9" s="128"/>
      <c r="G9" s="38" t="s">
        <v>39</v>
      </c>
      <c r="H9" s="9"/>
    </row>
    <row r="10" spans="1:10" ht="16.5" x14ac:dyDescent="0.25">
      <c r="A10" s="49" t="s">
        <v>56</v>
      </c>
      <c r="B10" s="14">
        <v>0</v>
      </c>
      <c r="D10" s="29" t="s">
        <v>11</v>
      </c>
      <c r="E10" s="29" t="s">
        <v>12</v>
      </c>
      <c r="G10" s="10"/>
      <c r="H10" s="9" t="s">
        <v>40</v>
      </c>
    </row>
    <row r="11" spans="1:10" ht="17.25" customHeight="1" x14ac:dyDescent="0.25">
      <c r="A11" s="50" t="s">
        <v>99</v>
      </c>
      <c r="B11" s="4">
        <v>0</v>
      </c>
      <c r="D11" s="1" t="s">
        <v>45</v>
      </c>
      <c r="E11" s="20">
        <f>SUM(E12:E17)</f>
        <v>28</v>
      </c>
      <c r="G11" s="11"/>
      <c r="H11" s="9" t="s">
        <v>41</v>
      </c>
    </row>
    <row r="12" spans="1:10" ht="15.75" x14ac:dyDescent="0.25">
      <c r="A12" s="50" t="s">
        <v>98</v>
      </c>
      <c r="B12" s="4">
        <v>4</v>
      </c>
      <c r="D12" s="37" t="s">
        <v>17</v>
      </c>
      <c r="E12" s="55">
        <f>B6</f>
        <v>24</v>
      </c>
      <c r="G12" s="12"/>
      <c r="H12" s="9" t="s">
        <v>42</v>
      </c>
    </row>
    <row r="13" spans="1:10" ht="30" x14ac:dyDescent="0.25">
      <c r="A13" s="53" t="s">
        <v>54</v>
      </c>
      <c r="B13" s="41">
        <f>SUM(B14:B16)</f>
        <v>0</v>
      </c>
      <c r="D13" s="37" t="s">
        <v>52</v>
      </c>
      <c r="E13" s="55">
        <f>B7</f>
        <v>0</v>
      </c>
    </row>
    <row r="14" spans="1:10" ht="30" x14ac:dyDescent="0.25">
      <c r="A14" s="51" t="s">
        <v>57</v>
      </c>
      <c r="B14" s="15">
        <v>0</v>
      </c>
      <c r="D14" s="44" t="s">
        <v>53</v>
      </c>
      <c r="E14" s="55">
        <f>B9</f>
        <v>4</v>
      </c>
    </row>
    <row r="15" spans="1:10" x14ac:dyDescent="0.25">
      <c r="A15" s="51" t="s">
        <v>58</v>
      </c>
      <c r="B15" s="13">
        <v>0</v>
      </c>
      <c r="D15" s="102" t="s">
        <v>164</v>
      </c>
      <c r="E15" s="39">
        <f>B13</f>
        <v>0</v>
      </c>
    </row>
    <row r="16" spans="1:10" x14ac:dyDescent="0.25">
      <c r="A16" s="51" t="s">
        <v>59</v>
      </c>
      <c r="B16" s="13">
        <v>0</v>
      </c>
      <c r="D16" s="37" t="s">
        <v>162</v>
      </c>
      <c r="E16" s="39">
        <f>B17</f>
        <v>0</v>
      </c>
    </row>
    <row r="17" spans="1:5" ht="16.5" x14ac:dyDescent="0.25">
      <c r="A17" s="7" t="s">
        <v>155</v>
      </c>
      <c r="B17" s="41">
        <f>SUM(B18)</f>
        <v>0</v>
      </c>
      <c r="D17" s="37" t="s">
        <v>163</v>
      </c>
      <c r="E17" s="39">
        <f>B19</f>
        <v>0</v>
      </c>
    </row>
    <row r="18" spans="1:5" x14ac:dyDescent="0.25">
      <c r="A18" s="5" t="s">
        <v>64</v>
      </c>
      <c r="B18" s="24">
        <f>I4</f>
        <v>0</v>
      </c>
    </row>
    <row r="19" spans="1:5" ht="16.5" x14ac:dyDescent="0.25">
      <c r="A19" s="7" t="s">
        <v>156</v>
      </c>
      <c r="B19" s="41">
        <f>SUM(B20)</f>
        <v>0</v>
      </c>
    </row>
    <row r="20" spans="1:5" x14ac:dyDescent="0.25">
      <c r="A20" s="5" t="s">
        <v>157</v>
      </c>
      <c r="B20" s="24">
        <f>I5</f>
        <v>0</v>
      </c>
    </row>
    <row r="22" spans="1:5" x14ac:dyDescent="0.25">
      <c r="A22" t="s">
        <v>107</v>
      </c>
    </row>
    <row r="23" spans="1:5" x14ac:dyDescent="0.25">
      <c r="A23" s="54" t="s">
        <v>100</v>
      </c>
    </row>
  </sheetData>
  <mergeCells count="3">
    <mergeCell ref="D1:J1"/>
    <mergeCell ref="A1:B1"/>
    <mergeCell ref="D9:E9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J23"/>
  <sheetViews>
    <sheetView showGridLines="0" topLeftCell="A7" workbookViewId="0">
      <selection activeCell="A20" sqref="A20:B23"/>
    </sheetView>
  </sheetViews>
  <sheetFormatPr defaultColWidth="32.85546875" defaultRowHeight="15" x14ac:dyDescent="0.25"/>
  <cols>
    <col min="1" max="1" width="48" customWidth="1"/>
    <col min="2" max="2" width="19.7109375" bestFit="1" customWidth="1"/>
    <col min="3" max="3" width="2" customWidth="1"/>
    <col min="4" max="4" width="39.42578125" bestFit="1" customWidth="1"/>
    <col min="5" max="5" width="31.140625" customWidth="1"/>
    <col min="6" max="6" width="12.42578125" bestFit="1" customWidth="1"/>
    <col min="7" max="7" width="9.7109375" bestFit="1" customWidth="1"/>
    <col min="8" max="8" width="10.140625" customWidth="1"/>
    <col min="9" max="9" width="6" bestFit="1" customWidth="1"/>
    <col min="10" max="10" width="5.5703125" bestFit="1" customWidth="1"/>
  </cols>
  <sheetData>
    <row r="1" spans="1:10" ht="16.5" x14ac:dyDescent="0.25">
      <c r="A1" s="128" t="s">
        <v>38</v>
      </c>
      <c r="B1" s="128"/>
      <c r="C1" s="9"/>
      <c r="D1" s="129" t="s">
        <v>38</v>
      </c>
      <c r="E1" s="130"/>
      <c r="F1" s="130"/>
      <c r="G1" s="130"/>
      <c r="H1" s="130"/>
      <c r="I1" s="130"/>
      <c r="J1" s="131"/>
    </row>
    <row r="2" spans="1:10" ht="30" x14ac:dyDescent="0.25">
      <c r="A2" s="29" t="s">
        <v>11</v>
      </c>
      <c r="B2" s="30" t="s">
        <v>12</v>
      </c>
      <c r="C2" s="9"/>
      <c r="D2" s="35" t="s">
        <v>0</v>
      </c>
      <c r="E2" s="35" t="s">
        <v>1</v>
      </c>
      <c r="F2" s="36" t="s">
        <v>8</v>
      </c>
      <c r="G2" s="35" t="s">
        <v>4</v>
      </c>
      <c r="H2" s="35" t="s">
        <v>5</v>
      </c>
      <c r="I2" s="35" t="s">
        <v>6</v>
      </c>
      <c r="J2" s="35" t="s">
        <v>7</v>
      </c>
    </row>
    <row r="3" spans="1:10" ht="15.75" x14ac:dyDescent="0.25">
      <c r="A3" s="31" t="s">
        <v>86</v>
      </c>
      <c r="B3" s="40" t="e">
        <f>SUM(B4,B6,B13,B20,B22)</f>
        <v>#VALUE!</v>
      </c>
      <c r="C3" s="9"/>
      <c r="D3" s="22" t="s">
        <v>49</v>
      </c>
      <c r="E3" s="22" t="s">
        <v>78</v>
      </c>
      <c r="F3" s="48">
        <v>30</v>
      </c>
      <c r="G3" s="21" t="str">
        <f>CAPA!N7</f>
        <v>Agentes</v>
      </c>
      <c r="H3" s="25" t="e">
        <f>F3*G3</f>
        <v>#VALUE!</v>
      </c>
      <c r="I3" s="26" t="e">
        <f>H3/60</f>
        <v>#VALUE!</v>
      </c>
      <c r="J3" s="27" t="e">
        <f>I3/24</f>
        <v>#VALUE!</v>
      </c>
    </row>
    <row r="4" spans="1:10" ht="16.5" x14ac:dyDescent="0.25">
      <c r="A4" s="7" t="s">
        <v>17</v>
      </c>
      <c r="B4" s="41">
        <f>SUM(B5)</f>
        <v>24</v>
      </c>
      <c r="C4" s="9"/>
      <c r="D4" s="22" t="s">
        <v>77</v>
      </c>
      <c r="E4" s="22" t="s">
        <v>76</v>
      </c>
      <c r="F4" s="48">
        <v>60</v>
      </c>
      <c r="G4" s="21" t="str">
        <f>CAPA!M7</f>
        <v>Emissão</v>
      </c>
      <c r="H4" s="25" t="e">
        <f>F4*G4</f>
        <v>#VALUE!</v>
      </c>
      <c r="I4" s="26" t="e">
        <f>H4/60</f>
        <v>#VALUE!</v>
      </c>
      <c r="J4" s="27" t="e">
        <f>I4/24</f>
        <v>#VALUE!</v>
      </c>
    </row>
    <row r="5" spans="1:10" x14ac:dyDescent="0.25">
      <c r="A5" s="2" t="s">
        <v>18</v>
      </c>
      <c r="B5" s="4">
        <v>24</v>
      </c>
      <c r="C5" s="9"/>
      <c r="D5" s="22" t="s">
        <v>159</v>
      </c>
      <c r="E5" s="22" t="s">
        <v>160</v>
      </c>
      <c r="F5" s="32">
        <v>60</v>
      </c>
      <c r="G5" s="21">
        <v>0</v>
      </c>
      <c r="H5" s="25">
        <f t="shared" ref="H5:H6" si="0">F5*G5</f>
        <v>0</v>
      </c>
      <c r="I5" s="26">
        <f t="shared" ref="I5:I6" si="1">H5/60</f>
        <v>0</v>
      </c>
      <c r="J5" s="27">
        <f t="shared" ref="J5:J6" si="2">I5/24</f>
        <v>0</v>
      </c>
    </row>
    <row r="6" spans="1:10" ht="16.5" x14ac:dyDescent="0.25">
      <c r="A6" s="7" t="s">
        <v>19</v>
      </c>
      <c r="B6" s="41">
        <f>SUM(B7:B12)</f>
        <v>22.5</v>
      </c>
      <c r="C6" s="9"/>
      <c r="D6" s="22" t="s">
        <v>161</v>
      </c>
      <c r="E6" s="22" t="s">
        <v>160</v>
      </c>
      <c r="F6" s="32">
        <v>60</v>
      </c>
      <c r="G6" s="21">
        <v>0</v>
      </c>
      <c r="H6" s="25">
        <f t="shared" si="0"/>
        <v>0</v>
      </c>
      <c r="I6" s="26">
        <f t="shared" si="1"/>
        <v>0</v>
      </c>
      <c r="J6" s="27">
        <f t="shared" si="2"/>
        <v>0</v>
      </c>
    </row>
    <row r="7" spans="1:10" x14ac:dyDescent="0.25">
      <c r="A7" s="2" t="s">
        <v>74</v>
      </c>
      <c r="B7" s="4">
        <v>5</v>
      </c>
      <c r="C7" s="9"/>
      <c r="D7" s="9"/>
      <c r="E7" s="9"/>
      <c r="F7" s="33"/>
      <c r="G7" s="22" t="s">
        <v>9</v>
      </c>
      <c r="H7" s="25" t="e">
        <f>SUM(H3:H6)</f>
        <v>#VALUE!</v>
      </c>
      <c r="I7" s="34" t="e">
        <f>SUM(I3:I6)</f>
        <v>#VALUE!</v>
      </c>
      <c r="J7" s="27" t="e">
        <f>SUM(J3:J6)</f>
        <v>#VALUE!</v>
      </c>
    </row>
    <row r="8" spans="1:10" x14ac:dyDescent="0.25">
      <c r="A8" s="3" t="s">
        <v>75</v>
      </c>
      <c r="B8" s="15">
        <v>0.5</v>
      </c>
      <c r="C8" s="9"/>
      <c r="D8" s="9"/>
      <c r="E8" s="9"/>
      <c r="F8" s="9"/>
      <c r="G8" s="9"/>
      <c r="H8" s="9"/>
      <c r="I8" s="9"/>
      <c r="J8" s="9"/>
    </row>
    <row r="9" spans="1:10" ht="16.5" x14ac:dyDescent="0.25">
      <c r="A9" s="3" t="s">
        <v>48</v>
      </c>
      <c r="B9" s="15">
        <v>1</v>
      </c>
      <c r="C9" s="9"/>
      <c r="D9" s="128" t="s">
        <v>91</v>
      </c>
      <c r="E9" s="128"/>
      <c r="F9" s="9"/>
      <c r="G9" s="9" t="s">
        <v>39</v>
      </c>
      <c r="H9" s="9"/>
      <c r="I9" s="9"/>
      <c r="J9" s="9"/>
    </row>
    <row r="10" spans="1:10" ht="16.5" x14ac:dyDescent="0.25">
      <c r="A10" s="3" t="s">
        <v>22</v>
      </c>
      <c r="B10" s="28">
        <v>8</v>
      </c>
      <c r="C10" s="9"/>
      <c r="D10" s="29" t="s">
        <v>11</v>
      </c>
      <c r="E10" s="30" t="s">
        <v>12</v>
      </c>
      <c r="F10" s="9"/>
      <c r="G10" s="10"/>
      <c r="H10" s="9" t="s">
        <v>40</v>
      </c>
      <c r="I10" s="9"/>
      <c r="J10" s="9"/>
    </row>
    <row r="11" spans="1:10" ht="15.75" x14ac:dyDescent="0.25">
      <c r="A11" s="3" t="s">
        <v>23</v>
      </c>
      <c r="B11" s="15">
        <v>2</v>
      </c>
      <c r="C11" s="9"/>
      <c r="D11" s="1" t="s">
        <v>45</v>
      </c>
      <c r="E11" s="20" t="e">
        <f>SUM(E12:E16)</f>
        <v>#VALUE!</v>
      </c>
      <c r="F11" s="9"/>
      <c r="G11" s="11"/>
      <c r="H11" s="9" t="s">
        <v>41</v>
      </c>
      <c r="I11" s="9"/>
      <c r="J11" s="9"/>
    </row>
    <row r="12" spans="1:10" ht="15.75" x14ac:dyDescent="0.25">
      <c r="A12" s="3" t="s">
        <v>24</v>
      </c>
      <c r="B12" s="13">
        <v>6</v>
      </c>
      <c r="C12" s="9"/>
      <c r="D12" s="37" t="s">
        <v>17</v>
      </c>
      <c r="E12" s="55">
        <f>B5</f>
        <v>24</v>
      </c>
      <c r="F12" s="9"/>
      <c r="G12" s="12"/>
      <c r="H12" s="9" t="s">
        <v>42</v>
      </c>
      <c r="I12" s="9"/>
      <c r="J12" s="9"/>
    </row>
    <row r="13" spans="1:10" ht="15.75" x14ac:dyDescent="0.25">
      <c r="A13" s="7" t="s">
        <v>25</v>
      </c>
      <c r="B13" s="46" t="e">
        <f>SUM(B14:B19)</f>
        <v>#VALUE!</v>
      </c>
      <c r="C13" s="9"/>
      <c r="D13" s="37" t="s">
        <v>46</v>
      </c>
      <c r="E13" s="55">
        <f>B6</f>
        <v>22.5</v>
      </c>
      <c r="F13" s="9"/>
      <c r="G13" s="9"/>
      <c r="H13" s="9"/>
      <c r="I13" s="9"/>
      <c r="J13" s="9"/>
    </row>
    <row r="14" spans="1:10" ht="15.75" x14ac:dyDescent="0.25">
      <c r="A14" s="2" t="s">
        <v>74</v>
      </c>
      <c r="B14" s="4">
        <v>5</v>
      </c>
      <c r="C14" s="9"/>
      <c r="D14" s="44" t="s">
        <v>47</v>
      </c>
      <c r="E14" s="55" t="e">
        <f>B13</f>
        <v>#VALUE!</v>
      </c>
      <c r="F14" s="9"/>
      <c r="G14" s="9"/>
      <c r="H14" s="9"/>
      <c r="I14" s="9"/>
      <c r="J14" s="9"/>
    </row>
    <row r="15" spans="1:10" x14ac:dyDescent="0.25">
      <c r="A15" s="5" t="s">
        <v>79</v>
      </c>
      <c r="B15" s="24" t="e">
        <f>I3</f>
        <v>#VALUE!</v>
      </c>
      <c r="C15" s="9"/>
      <c r="D15" s="37" t="s">
        <v>162</v>
      </c>
      <c r="E15" s="39">
        <f>B20</f>
        <v>0</v>
      </c>
      <c r="F15" s="9"/>
      <c r="G15" s="9"/>
      <c r="H15" s="9"/>
      <c r="I15" s="9"/>
      <c r="J15" s="9"/>
    </row>
    <row r="16" spans="1:10" x14ac:dyDescent="0.25">
      <c r="A16" s="5" t="s">
        <v>48</v>
      </c>
      <c r="B16" s="24" t="e">
        <f>I4</f>
        <v>#VALUE!</v>
      </c>
      <c r="C16" s="9"/>
      <c r="D16" s="37" t="s">
        <v>163</v>
      </c>
      <c r="E16" s="39">
        <f>B22</f>
        <v>0</v>
      </c>
      <c r="F16" s="9"/>
      <c r="G16" s="9"/>
      <c r="H16" s="9"/>
      <c r="I16" s="9"/>
      <c r="J16" s="9"/>
    </row>
    <row r="17" spans="1:10" x14ac:dyDescent="0.25">
      <c r="A17" s="3" t="s">
        <v>23</v>
      </c>
      <c r="B17" s="13">
        <v>4</v>
      </c>
      <c r="C17" s="9"/>
      <c r="D17" s="9"/>
      <c r="E17" s="9"/>
      <c r="F17" s="9"/>
      <c r="G17" s="9"/>
      <c r="H17" s="9"/>
      <c r="I17" s="9"/>
      <c r="J17" s="9"/>
    </row>
    <row r="18" spans="1:10" x14ac:dyDescent="0.25">
      <c r="A18" s="3" t="s">
        <v>26</v>
      </c>
      <c r="B18" s="13">
        <v>4</v>
      </c>
      <c r="C18" s="9"/>
      <c r="D18" s="9"/>
      <c r="E18" s="9"/>
      <c r="F18" s="9"/>
      <c r="G18" s="9"/>
      <c r="H18" s="9"/>
      <c r="I18" s="9"/>
      <c r="J18" s="9"/>
    </row>
    <row r="19" spans="1:10" x14ac:dyDescent="0.25">
      <c r="A19" s="3" t="s">
        <v>27</v>
      </c>
      <c r="B19" s="13">
        <v>4</v>
      </c>
      <c r="C19" s="9"/>
      <c r="D19" s="9"/>
      <c r="E19" s="9"/>
      <c r="F19" s="9"/>
      <c r="G19" s="9"/>
      <c r="H19" s="9"/>
      <c r="I19" s="9"/>
      <c r="J19" s="9"/>
    </row>
    <row r="20" spans="1:10" ht="16.5" x14ac:dyDescent="0.25">
      <c r="A20" s="7" t="s">
        <v>155</v>
      </c>
      <c r="B20" s="41">
        <f>SUM(B21)</f>
        <v>0</v>
      </c>
      <c r="C20" s="9"/>
      <c r="D20" s="9"/>
      <c r="E20" s="9"/>
      <c r="F20" s="9"/>
      <c r="G20" s="9"/>
      <c r="H20" s="9"/>
      <c r="I20" s="9"/>
      <c r="J20" s="9"/>
    </row>
    <row r="21" spans="1:10" x14ac:dyDescent="0.25">
      <c r="A21" s="5" t="s">
        <v>64</v>
      </c>
      <c r="B21" s="24">
        <f>I5</f>
        <v>0</v>
      </c>
      <c r="C21" s="9"/>
      <c r="D21" s="9"/>
      <c r="E21" s="9"/>
      <c r="F21" s="9"/>
      <c r="G21" s="9"/>
      <c r="H21" s="9"/>
      <c r="I21" s="9"/>
      <c r="J21" s="9"/>
    </row>
    <row r="22" spans="1:10" ht="16.5" x14ac:dyDescent="0.25">
      <c r="A22" s="7" t="s">
        <v>156</v>
      </c>
      <c r="B22" s="41">
        <f>SUM(B23)</f>
        <v>0</v>
      </c>
      <c r="C22" s="9"/>
    </row>
    <row r="23" spans="1:10" x14ac:dyDescent="0.25">
      <c r="A23" s="5" t="s">
        <v>157</v>
      </c>
      <c r="B23" s="24">
        <f>I6</f>
        <v>0</v>
      </c>
    </row>
  </sheetData>
  <mergeCells count="3">
    <mergeCell ref="A1:B1"/>
    <mergeCell ref="D9:E9"/>
    <mergeCell ref="D1:J1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J21"/>
  <sheetViews>
    <sheetView showGridLines="0" workbookViewId="0">
      <selection activeCell="B4" sqref="B4"/>
    </sheetView>
  </sheetViews>
  <sheetFormatPr defaultColWidth="32.85546875" defaultRowHeight="15" x14ac:dyDescent="0.25"/>
  <cols>
    <col min="1" max="1" width="47.28515625" customWidth="1"/>
    <col min="2" max="2" width="24" customWidth="1"/>
    <col min="3" max="3" width="2" customWidth="1"/>
    <col min="4" max="4" width="40" customWidth="1"/>
    <col min="5" max="5" width="22.42578125" customWidth="1"/>
    <col min="6" max="6" width="12.42578125" bestFit="1" customWidth="1"/>
    <col min="7" max="7" width="9.7109375" bestFit="1" customWidth="1"/>
    <col min="8" max="8" width="10.140625" customWidth="1"/>
    <col min="9" max="9" width="6" bestFit="1" customWidth="1"/>
    <col min="10" max="10" width="5.5703125" bestFit="1" customWidth="1"/>
  </cols>
  <sheetData>
    <row r="1" spans="1:10" ht="16.5" x14ac:dyDescent="0.25">
      <c r="A1" s="128" t="s">
        <v>38</v>
      </c>
      <c r="B1" s="128"/>
      <c r="C1" s="9"/>
      <c r="D1" s="129" t="s">
        <v>37</v>
      </c>
      <c r="E1" s="130"/>
      <c r="F1" s="130"/>
      <c r="G1" s="130"/>
      <c r="H1" s="130"/>
      <c r="I1" s="130"/>
      <c r="J1" s="131"/>
    </row>
    <row r="2" spans="1:10" ht="30" x14ac:dyDescent="0.25">
      <c r="A2" s="29" t="s">
        <v>11</v>
      </c>
      <c r="B2" s="30" t="s">
        <v>12</v>
      </c>
      <c r="C2" s="9"/>
      <c r="D2" s="35" t="s">
        <v>0</v>
      </c>
      <c r="E2" s="35" t="s">
        <v>1</v>
      </c>
      <c r="F2" s="36" t="s">
        <v>8</v>
      </c>
      <c r="G2" s="35" t="s">
        <v>4</v>
      </c>
      <c r="H2" s="35" t="s">
        <v>5</v>
      </c>
      <c r="I2" s="35" t="s">
        <v>6</v>
      </c>
      <c r="J2" s="35" t="s">
        <v>7</v>
      </c>
    </row>
    <row r="3" spans="1:10" ht="15.75" x14ac:dyDescent="0.25">
      <c r="A3" s="31" t="s">
        <v>87</v>
      </c>
      <c r="B3" s="40">
        <f>SUM(B4,B6,B12,B18,B20)</f>
        <v>53.5</v>
      </c>
      <c r="C3" s="9"/>
      <c r="D3" s="22" t="s">
        <v>81</v>
      </c>
      <c r="E3" s="22" t="s">
        <v>82</v>
      </c>
      <c r="F3" s="48">
        <v>30</v>
      </c>
      <c r="G3" s="21">
        <f>[1]CAPA!N8</f>
        <v>0</v>
      </c>
      <c r="H3" s="25">
        <f>F3*G3</f>
        <v>0</v>
      </c>
      <c r="I3" s="26">
        <f>H3/60</f>
        <v>0</v>
      </c>
      <c r="J3" s="27">
        <f>I3/24</f>
        <v>0</v>
      </c>
    </row>
    <row r="4" spans="1:10" ht="16.5" x14ac:dyDescent="0.25">
      <c r="A4" s="7" t="s">
        <v>17</v>
      </c>
      <c r="B4" s="41">
        <f>SUM(B5)</f>
        <v>24</v>
      </c>
      <c r="C4" s="9"/>
      <c r="D4" s="22" t="s">
        <v>77</v>
      </c>
      <c r="E4" s="22" t="s">
        <v>76</v>
      </c>
      <c r="F4" s="48">
        <v>60</v>
      </c>
      <c r="G4" s="21">
        <f>[1]CAPA!M8</f>
        <v>0</v>
      </c>
      <c r="H4" s="25">
        <f>F4*G4</f>
        <v>0</v>
      </c>
      <c r="I4" s="26">
        <f>H4/60</f>
        <v>0</v>
      </c>
      <c r="J4" s="27">
        <f>I4/24</f>
        <v>0</v>
      </c>
    </row>
    <row r="5" spans="1:10" x14ac:dyDescent="0.25">
      <c r="A5" s="2" t="s">
        <v>18</v>
      </c>
      <c r="B5" s="4">
        <v>24</v>
      </c>
      <c r="C5" s="9"/>
      <c r="D5" s="22" t="s">
        <v>159</v>
      </c>
      <c r="E5" s="22" t="s">
        <v>160</v>
      </c>
      <c r="F5" s="32">
        <v>60</v>
      </c>
      <c r="G5" s="21">
        <v>0</v>
      </c>
      <c r="H5" s="25">
        <f t="shared" ref="H5:H7" si="0">F5*G5</f>
        <v>0</v>
      </c>
      <c r="I5" s="26">
        <f t="shared" ref="I5:I7" si="1">H5/60</f>
        <v>0</v>
      </c>
      <c r="J5" s="27">
        <f t="shared" ref="J5:J7" si="2">I5/24</f>
        <v>0</v>
      </c>
    </row>
    <row r="6" spans="1:10" ht="16.5" x14ac:dyDescent="0.25">
      <c r="A6" s="7" t="s">
        <v>19</v>
      </c>
      <c r="B6" s="41">
        <f>SUM(B7:B11)</f>
        <v>17.5</v>
      </c>
      <c r="C6" s="9"/>
      <c r="D6" s="22" t="s">
        <v>161</v>
      </c>
      <c r="E6" s="22" t="s">
        <v>160</v>
      </c>
      <c r="F6" s="32">
        <v>60</v>
      </c>
      <c r="G6" s="21">
        <v>0</v>
      </c>
      <c r="H6" s="25">
        <f t="shared" si="0"/>
        <v>0</v>
      </c>
      <c r="I6" s="26">
        <f t="shared" si="1"/>
        <v>0</v>
      </c>
      <c r="J6" s="27">
        <f t="shared" si="2"/>
        <v>0</v>
      </c>
    </row>
    <row r="7" spans="1:10" x14ac:dyDescent="0.25">
      <c r="A7" s="3" t="s">
        <v>48</v>
      </c>
      <c r="B7" s="15">
        <v>1</v>
      </c>
      <c r="C7" s="9"/>
      <c r="D7" s="22"/>
      <c r="E7" s="22"/>
      <c r="F7" s="48">
        <v>0</v>
      </c>
      <c r="G7" s="21">
        <v>0</v>
      </c>
      <c r="H7" s="25">
        <f t="shared" si="0"/>
        <v>0</v>
      </c>
      <c r="I7" s="26">
        <f t="shared" si="1"/>
        <v>0</v>
      </c>
      <c r="J7" s="27">
        <f t="shared" si="2"/>
        <v>0</v>
      </c>
    </row>
    <row r="8" spans="1:10" x14ac:dyDescent="0.25">
      <c r="A8" s="3" t="s">
        <v>84</v>
      </c>
      <c r="B8" s="13">
        <v>0.5</v>
      </c>
      <c r="C8" s="9"/>
      <c r="D8" s="9"/>
      <c r="E8" s="9"/>
      <c r="F8" s="33"/>
      <c r="G8" s="22" t="s">
        <v>9</v>
      </c>
      <c r="H8" s="25">
        <f>SUM(H3:H7)</f>
        <v>0</v>
      </c>
      <c r="I8" s="34">
        <f>SUM(I3:I7)</f>
        <v>0</v>
      </c>
      <c r="J8" s="27">
        <f>SUM(J3:J7)</f>
        <v>0</v>
      </c>
    </row>
    <row r="9" spans="1:10" ht="16.5" x14ac:dyDescent="0.25">
      <c r="A9" s="3" t="s">
        <v>22</v>
      </c>
      <c r="B9" s="28">
        <v>8</v>
      </c>
      <c r="C9" s="9"/>
      <c r="D9" s="9"/>
      <c r="E9" s="9"/>
      <c r="F9" s="9"/>
      <c r="G9" s="9"/>
      <c r="H9" s="9"/>
      <c r="I9" s="9"/>
      <c r="J9" s="9"/>
    </row>
    <row r="10" spans="1:10" ht="16.5" x14ac:dyDescent="0.25">
      <c r="A10" s="3" t="s">
        <v>23</v>
      </c>
      <c r="B10" s="15">
        <v>2</v>
      </c>
      <c r="C10" s="9"/>
      <c r="D10" s="128" t="s">
        <v>92</v>
      </c>
      <c r="E10" s="128"/>
      <c r="F10" s="9"/>
      <c r="G10" s="9" t="s">
        <v>39</v>
      </c>
      <c r="H10" s="9"/>
      <c r="I10" s="9"/>
      <c r="J10" s="9"/>
    </row>
    <row r="11" spans="1:10" ht="16.5" x14ac:dyDescent="0.25">
      <c r="A11" s="3" t="s">
        <v>24</v>
      </c>
      <c r="B11" s="13">
        <v>6</v>
      </c>
      <c r="C11" s="9"/>
      <c r="D11" s="29" t="s">
        <v>11</v>
      </c>
      <c r="E11" s="30" t="s">
        <v>12</v>
      </c>
      <c r="F11" s="9"/>
      <c r="G11" s="10"/>
      <c r="H11" s="9" t="s">
        <v>40</v>
      </c>
      <c r="I11" s="9"/>
      <c r="J11" s="9"/>
    </row>
    <row r="12" spans="1:10" ht="15.75" x14ac:dyDescent="0.25">
      <c r="A12" s="7" t="s">
        <v>25</v>
      </c>
      <c r="B12" s="46">
        <f>SUM(B13:B17)</f>
        <v>12</v>
      </c>
      <c r="C12" s="9"/>
      <c r="D12" s="1" t="s">
        <v>45</v>
      </c>
      <c r="E12" s="20">
        <f>SUM(E13:E15)</f>
        <v>53.5</v>
      </c>
      <c r="F12" s="9"/>
      <c r="G12" s="11"/>
      <c r="H12" s="9" t="s">
        <v>41</v>
      </c>
      <c r="I12" s="9"/>
      <c r="J12" s="9"/>
    </row>
    <row r="13" spans="1:10" ht="15.75" x14ac:dyDescent="0.25">
      <c r="A13" s="5" t="s">
        <v>48</v>
      </c>
      <c r="B13" s="24">
        <f>I4</f>
        <v>0</v>
      </c>
      <c r="C13" s="9"/>
      <c r="D13" s="37" t="s">
        <v>17</v>
      </c>
      <c r="E13" s="55">
        <f>B5</f>
        <v>24</v>
      </c>
      <c r="F13" s="9"/>
      <c r="G13" s="12"/>
      <c r="H13" s="9" t="s">
        <v>42</v>
      </c>
      <c r="I13" s="9"/>
      <c r="J13" s="9"/>
    </row>
    <row r="14" spans="1:10" ht="15.75" x14ac:dyDescent="0.25">
      <c r="A14" s="5" t="s">
        <v>84</v>
      </c>
      <c r="B14" s="6">
        <f>I3</f>
        <v>0</v>
      </c>
      <c r="C14" s="9"/>
      <c r="D14" s="37" t="s">
        <v>46</v>
      </c>
      <c r="E14" s="55">
        <f>B6</f>
        <v>17.5</v>
      </c>
      <c r="F14" s="9"/>
      <c r="G14" s="9"/>
      <c r="H14" s="9"/>
      <c r="I14" s="9"/>
      <c r="J14" s="9"/>
    </row>
    <row r="15" spans="1:10" ht="15.75" x14ac:dyDescent="0.25">
      <c r="A15" s="3" t="s">
        <v>23</v>
      </c>
      <c r="B15" s="17">
        <v>4</v>
      </c>
      <c r="C15" s="9"/>
      <c r="D15" s="44" t="s">
        <v>47</v>
      </c>
      <c r="E15" s="45">
        <f>B12</f>
        <v>12</v>
      </c>
      <c r="F15" s="9"/>
      <c r="G15" s="9"/>
      <c r="H15" s="9"/>
      <c r="I15" s="9"/>
      <c r="J15" s="9"/>
    </row>
    <row r="16" spans="1:10" x14ac:dyDescent="0.25">
      <c r="A16" s="3" t="s">
        <v>26</v>
      </c>
      <c r="B16" s="17">
        <v>4</v>
      </c>
      <c r="C16" s="9"/>
      <c r="D16" s="37" t="s">
        <v>162</v>
      </c>
      <c r="E16" s="39">
        <f>B18</f>
        <v>0</v>
      </c>
      <c r="F16" s="9"/>
      <c r="G16" s="9"/>
      <c r="H16" s="9"/>
      <c r="I16" s="9"/>
      <c r="J16" s="9"/>
    </row>
    <row r="17" spans="1:10" x14ac:dyDescent="0.25">
      <c r="A17" s="3" t="s">
        <v>27</v>
      </c>
      <c r="B17" s="17">
        <v>4</v>
      </c>
      <c r="C17" s="9"/>
      <c r="D17" s="37" t="s">
        <v>163</v>
      </c>
      <c r="E17" s="39">
        <f>B20</f>
        <v>0</v>
      </c>
      <c r="F17" s="9"/>
      <c r="G17" s="9"/>
      <c r="H17" s="9"/>
      <c r="I17" s="9"/>
      <c r="J17" s="9"/>
    </row>
    <row r="18" spans="1:10" ht="16.5" x14ac:dyDescent="0.25">
      <c r="A18" s="7" t="s">
        <v>155</v>
      </c>
      <c r="B18" s="41">
        <f>SUM(B19)</f>
        <v>0</v>
      </c>
      <c r="C18" s="9"/>
      <c r="D18" s="9"/>
      <c r="E18" s="9"/>
      <c r="F18" s="9"/>
      <c r="G18" s="9"/>
      <c r="H18" s="9"/>
      <c r="I18" s="9"/>
      <c r="J18" s="9"/>
    </row>
    <row r="19" spans="1:10" x14ac:dyDescent="0.25">
      <c r="A19" s="5" t="s">
        <v>64</v>
      </c>
      <c r="B19" s="24">
        <f>I5</f>
        <v>0</v>
      </c>
      <c r="C19" s="9"/>
      <c r="D19" s="9"/>
      <c r="E19" s="9"/>
      <c r="F19" s="9"/>
      <c r="G19" s="9"/>
      <c r="H19" s="9"/>
      <c r="I19" s="9"/>
      <c r="J19" s="9"/>
    </row>
    <row r="20" spans="1:10" ht="16.5" x14ac:dyDescent="0.25">
      <c r="A20" s="7" t="s">
        <v>156</v>
      </c>
      <c r="B20" s="41">
        <f>SUM(B21)</f>
        <v>0</v>
      </c>
      <c r="C20" s="9"/>
      <c r="F20" s="9"/>
      <c r="G20" s="9"/>
      <c r="H20" s="9"/>
      <c r="I20" s="9"/>
      <c r="J20" s="9"/>
    </row>
    <row r="21" spans="1:10" x14ac:dyDescent="0.25">
      <c r="A21" s="5" t="s">
        <v>157</v>
      </c>
      <c r="B21" s="24">
        <f>I6</f>
        <v>0</v>
      </c>
    </row>
  </sheetData>
  <mergeCells count="3">
    <mergeCell ref="A1:B1"/>
    <mergeCell ref="D10:E10"/>
    <mergeCell ref="D1:J1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J22"/>
  <sheetViews>
    <sheetView showGridLines="0" workbookViewId="0">
      <selection activeCell="I20" sqref="I20"/>
    </sheetView>
  </sheetViews>
  <sheetFormatPr defaultRowHeight="16.5" customHeight="1" x14ac:dyDescent="0.25"/>
  <cols>
    <col min="1" max="1" width="45" customWidth="1"/>
    <col min="2" max="2" width="19.7109375" bestFit="1" customWidth="1"/>
    <col min="3" max="3" width="4.42578125" customWidth="1"/>
    <col min="4" max="4" width="30.28515625" bestFit="1" customWidth="1"/>
    <col min="5" max="5" width="22.140625" bestFit="1" customWidth="1"/>
    <col min="6" max="6" width="13.140625" customWidth="1"/>
    <col min="7" max="7" width="12.140625" customWidth="1"/>
    <col min="8" max="8" width="8.28515625" bestFit="1" customWidth="1"/>
    <col min="9" max="9" width="6" bestFit="1" customWidth="1"/>
    <col min="10" max="10" width="5.5703125" bestFit="1" customWidth="1"/>
  </cols>
  <sheetData>
    <row r="1" spans="1:10" ht="16.5" customHeight="1" x14ac:dyDescent="0.25">
      <c r="A1" s="128" t="s">
        <v>38</v>
      </c>
      <c r="B1" s="128"/>
      <c r="D1" s="129" t="s">
        <v>37</v>
      </c>
      <c r="E1" s="130"/>
      <c r="F1" s="130"/>
      <c r="G1" s="130"/>
      <c r="H1" s="130"/>
      <c r="I1" s="130"/>
      <c r="J1" s="131"/>
    </row>
    <row r="2" spans="1:10" ht="16.5" customHeight="1" x14ac:dyDescent="0.25">
      <c r="A2" s="29" t="s">
        <v>11</v>
      </c>
      <c r="B2" s="30" t="s">
        <v>12</v>
      </c>
      <c r="D2" s="35" t="s">
        <v>0</v>
      </c>
      <c r="E2" s="35" t="s">
        <v>1</v>
      </c>
      <c r="F2" s="36" t="s">
        <v>8</v>
      </c>
      <c r="G2" s="35" t="s">
        <v>4</v>
      </c>
      <c r="H2" s="35" t="s">
        <v>5</v>
      </c>
      <c r="I2" s="35" t="s">
        <v>6</v>
      </c>
      <c r="J2" s="35" t="s">
        <v>7</v>
      </c>
    </row>
    <row r="3" spans="1:10" ht="16.5" customHeight="1" x14ac:dyDescent="0.25">
      <c r="A3" s="31" t="s">
        <v>130</v>
      </c>
      <c r="B3" s="40">
        <f>+B4+B6+B12+B19+B21</f>
        <v>49.5</v>
      </c>
      <c r="D3" s="8" t="s">
        <v>68</v>
      </c>
      <c r="E3" s="8" t="s">
        <v>71</v>
      </c>
      <c r="F3" s="32">
        <v>30</v>
      </c>
      <c r="G3" s="21">
        <v>0</v>
      </c>
      <c r="H3" s="25">
        <f>F3*G3</f>
        <v>0</v>
      </c>
      <c r="I3" s="26">
        <f>H3/60</f>
        <v>0</v>
      </c>
      <c r="J3" s="27">
        <f>I3/24</f>
        <v>0</v>
      </c>
    </row>
    <row r="4" spans="1:10" ht="16.5" customHeight="1" x14ac:dyDescent="0.25">
      <c r="A4" s="7" t="s">
        <v>17</v>
      </c>
      <c r="B4" s="41">
        <f>SUM(B5)</f>
        <v>24</v>
      </c>
      <c r="D4" s="22" t="s">
        <v>159</v>
      </c>
      <c r="E4" s="22" t="s">
        <v>160</v>
      </c>
      <c r="F4" s="32">
        <v>60</v>
      </c>
      <c r="G4" s="21">
        <v>0</v>
      </c>
      <c r="H4" s="25">
        <f t="shared" ref="H4:H5" si="0">F4*G4</f>
        <v>0</v>
      </c>
      <c r="I4" s="26">
        <f t="shared" ref="I4:I5" si="1">H4/60</f>
        <v>0</v>
      </c>
      <c r="J4" s="27">
        <f t="shared" ref="J4:J5" si="2">I4/24</f>
        <v>0</v>
      </c>
    </row>
    <row r="5" spans="1:10" ht="16.5" customHeight="1" x14ac:dyDescent="0.25">
      <c r="A5" s="2" t="s">
        <v>18</v>
      </c>
      <c r="B5" s="16">
        <v>24</v>
      </c>
      <c r="D5" s="22" t="s">
        <v>161</v>
      </c>
      <c r="E5" s="22" t="s">
        <v>160</v>
      </c>
      <c r="F5" s="32">
        <v>60</v>
      </c>
      <c r="G5" s="21">
        <v>0</v>
      </c>
      <c r="H5" s="25">
        <f t="shared" si="0"/>
        <v>0</v>
      </c>
      <c r="I5" s="26">
        <f t="shared" si="1"/>
        <v>0</v>
      </c>
      <c r="J5" s="27">
        <f t="shared" si="2"/>
        <v>0</v>
      </c>
    </row>
    <row r="6" spans="1:10" ht="16.5" customHeight="1" x14ac:dyDescent="0.25">
      <c r="A6" s="7" t="s">
        <v>19</v>
      </c>
      <c r="B6" s="41">
        <f>SUM(B7:B11)</f>
        <v>13.5</v>
      </c>
      <c r="D6" s="9"/>
      <c r="E6" s="9"/>
      <c r="F6" s="33"/>
      <c r="G6" s="8" t="s">
        <v>9</v>
      </c>
      <c r="H6" s="25">
        <f>SUM(H3:H5)</f>
        <v>0</v>
      </c>
      <c r="I6" s="34">
        <f>SUM(I3:I5)</f>
        <v>0</v>
      </c>
      <c r="J6" s="27">
        <f>SUM(J3:J5)</f>
        <v>0</v>
      </c>
    </row>
    <row r="7" spans="1:10" ht="16.5" customHeight="1" x14ac:dyDescent="0.25">
      <c r="A7" s="2" t="s">
        <v>132</v>
      </c>
      <c r="B7" s="4">
        <v>1</v>
      </c>
      <c r="D7" s="9"/>
      <c r="E7" s="9"/>
      <c r="F7" s="9"/>
      <c r="G7" s="9"/>
      <c r="H7" s="9"/>
      <c r="I7" s="9"/>
      <c r="J7" s="9"/>
    </row>
    <row r="8" spans="1:10" ht="16.5" customHeight="1" x14ac:dyDescent="0.25">
      <c r="A8" s="5" t="s">
        <v>131</v>
      </c>
      <c r="B8" s="6">
        <v>0.5</v>
      </c>
      <c r="D8" s="128" t="s">
        <v>172</v>
      </c>
      <c r="E8" s="128"/>
      <c r="F8" s="9"/>
      <c r="G8" s="38" t="s">
        <v>39</v>
      </c>
      <c r="H8" s="9"/>
      <c r="I8" s="9"/>
      <c r="J8" s="9"/>
    </row>
    <row r="9" spans="1:10" ht="16.5" customHeight="1" x14ac:dyDescent="0.25">
      <c r="A9" s="3" t="s">
        <v>22</v>
      </c>
      <c r="B9" s="13">
        <v>4</v>
      </c>
      <c r="D9" s="29" t="s">
        <v>11</v>
      </c>
      <c r="E9" s="30" t="s">
        <v>12</v>
      </c>
      <c r="F9" s="9"/>
      <c r="G9" s="10"/>
      <c r="H9" s="9" t="s">
        <v>40</v>
      </c>
      <c r="I9" s="9"/>
      <c r="J9" s="9"/>
    </row>
    <row r="10" spans="1:10" ht="16.5" customHeight="1" x14ac:dyDescent="0.25">
      <c r="A10" s="3" t="s">
        <v>23</v>
      </c>
      <c r="B10" s="13">
        <v>2</v>
      </c>
      <c r="D10" s="19" t="s">
        <v>29</v>
      </c>
      <c r="E10" s="20">
        <f>SUM(E11:E15)</f>
        <v>49.5</v>
      </c>
      <c r="F10" s="9"/>
      <c r="G10" s="11"/>
      <c r="H10" s="9" t="s">
        <v>41</v>
      </c>
      <c r="I10" s="9"/>
      <c r="J10" s="9"/>
    </row>
    <row r="11" spans="1:10" ht="16.5" customHeight="1" x14ac:dyDescent="0.25">
      <c r="A11" s="3" t="s">
        <v>24</v>
      </c>
      <c r="B11" s="13">
        <v>6</v>
      </c>
      <c r="D11" s="37" t="s">
        <v>17</v>
      </c>
      <c r="E11" s="39">
        <f>B4</f>
        <v>24</v>
      </c>
      <c r="F11" s="9"/>
      <c r="G11" s="12"/>
      <c r="H11" s="9" t="s">
        <v>42</v>
      </c>
      <c r="I11" s="9"/>
      <c r="J11" s="9"/>
    </row>
    <row r="12" spans="1:10" ht="16.5" customHeight="1" x14ac:dyDescent="0.25">
      <c r="A12" s="7" t="s">
        <v>25</v>
      </c>
      <c r="B12" s="41">
        <f>SUM(B13:B17)</f>
        <v>12</v>
      </c>
      <c r="D12" s="37" t="s">
        <v>19</v>
      </c>
      <c r="E12" s="39">
        <f>B6</f>
        <v>13.5</v>
      </c>
      <c r="F12" s="9"/>
      <c r="G12" s="9"/>
      <c r="H12" s="9"/>
      <c r="I12" s="9"/>
      <c r="J12" s="9"/>
    </row>
    <row r="13" spans="1:10" ht="16.5" customHeight="1" x14ac:dyDescent="0.25">
      <c r="A13" s="2" t="s">
        <v>132</v>
      </c>
      <c r="B13" s="14">
        <v>4</v>
      </c>
      <c r="D13" s="37" t="s">
        <v>25</v>
      </c>
      <c r="E13" s="39">
        <f>B12</f>
        <v>12</v>
      </c>
      <c r="F13" s="9"/>
      <c r="G13" s="9"/>
      <c r="H13" s="9"/>
      <c r="I13" s="9"/>
      <c r="J13" s="9"/>
    </row>
    <row r="14" spans="1:10" ht="16.5" customHeight="1" x14ac:dyDescent="0.25">
      <c r="A14" s="5" t="s">
        <v>66</v>
      </c>
      <c r="B14" s="6">
        <f>I3</f>
        <v>0</v>
      </c>
      <c r="D14" s="37" t="s">
        <v>162</v>
      </c>
      <c r="E14" s="39">
        <f>B19</f>
        <v>0</v>
      </c>
      <c r="F14" s="9"/>
      <c r="G14" s="9"/>
      <c r="H14" s="9"/>
      <c r="I14" s="9"/>
      <c r="J14" s="9"/>
    </row>
    <row r="15" spans="1:10" ht="16.5" customHeight="1" x14ac:dyDescent="0.25">
      <c r="A15" s="3" t="s">
        <v>23</v>
      </c>
      <c r="B15" s="13">
        <v>2</v>
      </c>
      <c r="D15" s="37" t="s">
        <v>163</v>
      </c>
      <c r="E15" s="39">
        <f>B21</f>
        <v>0</v>
      </c>
      <c r="F15" s="9"/>
      <c r="G15" s="9"/>
      <c r="H15" s="9"/>
      <c r="I15" s="9"/>
      <c r="J15" s="9"/>
    </row>
    <row r="16" spans="1:10" ht="16.5" customHeight="1" x14ac:dyDescent="0.25">
      <c r="A16" s="3" t="s">
        <v>26</v>
      </c>
      <c r="B16" s="13">
        <v>2</v>
      </c>
      <c r="D16" s="9"/>
      <c r="E16" s="9"/>
      <c r="F16" s="9"/>
      <c r="G16" s="9"/>
      <c r="H16" s="9"/>
      <c r="I16" s="9"/>
      <c r="J16" s="9"/>
    </row>
    <row r="17" spans="1:2" ht="16.5" customHeight="1" x14ac:dyDescent="0.25">
      <c r="A17" s="3" t="s">
        <v>27</v>
      </c>
      <c r="B17" s="13">
        <v>4</v>
      </c>
    </row>
    <row r="18" spans="1:2" ht="16.5" customHeight="1" x14ac:dyDescent="0.25">
      <c r="A18" s="3" t="s">
        <v>64</v>
      </c>
      <c r="B18" s="18">
        <v>0</v>
      </c>
    </row>
    <row r="19" spans="1:2" ht="16.5" customHeight="1" x14ac:dyDescent="0.25">
      <c r="A19" s="7" t="s">
        <v>155</v>
      </c>
      <c r="B19" s="41">
        <f>SUM(B20)</f>
        <v>0</v>
      </c>
    </row>
    <row r="20" spans="1:2" ht="16.5" customHeight="1" x14ac:dyDescent="0.25">
      <c r="A20" s="5" t="s">
        <v>64</v>
      </c>
      <c r="B20" s="24">
        <f>I4</f>
        <v>0</v>
      </c>
    </row>
    <row r="21" spans="1:2" ht="16.5" customHeight="1" x14ac:dyDescent="0.25">
      <c r="A21" s="7" t="s">
        <v>156</v>
      </c>
      <c r="B21" s="41">
        <f>SUM(B22)</f>
        <v>0</v>
      </c>
    </row>
    <row r="22" spans="1:2" ht="16.5" customHeight="1" x14ac:dyDescent="0.25">
      <c r="A22" s="5" t="s">
        <v>157</v>
      </c>
      <c r="B22" s="24">
        <f>I5</f>
        <v>0</v>
      </c>
    </row>
  </sheetData>
  <mergeCells count="3">
    <mergeCell ref="A1:B1"/>
    <mergeCell ref="D1:J1"/>
    <mergeCell ref="D8:E8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J20"/>
  <sheetViews>
    <sheetView showGridLines="0" workbookViewId="0">
      <selection activeCell="D9" sqref="D9:E15"/>
    </sheetView>
  </sheetViews>
  <sheetFormatPr defaultRowHeight="15" x14ac:dyDescent="0.25"/>
  <cols>
    <col min="1" max="1" width="45.140625" customWidth="1"/>
    <col min="2" max="2" width="19.7109375" bestFit="1" customWidth="1"/>
    <col min="3" max="3" width="4.42578125" customWidth="1"/>
    <col min="4" max="4" width="30.28515625" bestFit="1" customWidth="1"/>
    <col min="5" max="5" width="22.140625" bestFit="1" customWidth="1"/>
    <col min="6" max="6" width="13" customWidth="1"/>
    <col min="7" max="7" width="9.85546875" bestFit="1" customWidth="1"/>
    <col min="8" max="8" width="12" customWidth="1"/>
    <col min="9" max="9" width="6" bestFit="1" customWidth="1"/>
    <col min="10" max="10" width="6.42578125" customWidth="1"/>
  </cols>
  <sheetData>
    <row r="1" spans="1:10" ht="16.5" x14ac:dyDescent="0.25">
      <c r="A1" s="128" t="s">
        <v>38</v>
      </c>
      <c r="B1" s="128"/>
      <c r="D1" s="129" t="s">
        <v>37</v>
      </c>
      <c r="E1" s="130"/>
      <c r="F1" s="130"/>
      <c r="G1" s="130"/>
      <c r="H1" s="130"/>
      <c r="I1" s="130"/>
      <c r="J1" s="131"/>
    </row>
    <row r="2" spans="1:10" ht="16.5" x14ac:dyDescent="0.25">
      <c r="A2" s="29" t="s">
        <v>11</v>
      </c>
      <c r="B2" s="30" t="s">
        <v>12</v>
      </c>
      <c r="D2" s="35" t="s">
        <v>0</v>
      </c>
      <c r="E2" s="35" t="s">
        <v>1</v>
      </c>
      <c r="F2" s="36" t="s">
        <v>8</v>
      </c>
      <c r="G2" s="35" t="s">
        <v>4</v>
      </c>
      <c r="H2" s="35" t="s">
        <v>5</v>
      </c>
      <c r="I2" s="35" t="s">
        <v>6</v>
      </c>
      <c r="J2" s="35" t="s">
        <v>7</v>
      </c>
    </row>
    <row r="3" spans="1:10" ht="15.75" x14ac:dyDescent="0.25">
      <c r="A3" s="31" t="s">
        <v>133</v>
      </c>
      <c r="B3" s="40">
        <f>+B4+B6+B12+B19</f>
        <v>45</v>
      </c>
      <c r="D3" s="22" t="s">
        <v>68</v>
      </c>
      <c r="E3" s="22" t="s">
        <v>71</v>
      </c>
      <c r="F3" s="32">
        <v>30</v>
      </c>
      <c r="G3" s="21">
        <v>0</v>
      </c>
      <c r="H3" s="25">
        <f>F3*G3</f>
        <v>0</v>
      </c>
      <c r="I3" s="25">
        <f>H3/60</f>
        <v>0</v>
      </c>
      <c r="J3" s="27">
        <f>I3/24</f>
        <v>0</v>
      </c>
    </row>
    <row r="4" spans="1:10" ht="16.5" x14ac:dyDescent="0.25">
      <c r="A4" s="7" t="s">
        <v>17</v>
      </c>
      <c r="B4" s="41">
        <f>SUM(B5)</f>
        <v>24</v>
      </c>
      <c r="D4" s="22" t="s">
        <v>69</v>
      </c>
      <c r="E4" s="22" t="s">
        <v>70</v>
      </c>
      <c r="F4" s="32">
        <v>30</v>
      </c>
      <c r="G4" s="21">
        <v>0</v>
      </c>
      <c r="H4" s="25">
        <f t="shared" ref="H4:H6" si="0">F4*G4</f>
        <v>0</v>
      </c>
      <c r="I4" s="25">
        <f t="shared" ref="I4:I6" si="1">H4/60</f>
        <v>0</v>
      </c>
      <c r="J4" s="27">
        <f t="shared" ref="J4:J6" si="2">I4/24</f>
        <v>0</v>
      </c>
    </row>
    <row r="5" spans="1:10" x14ac:dyDescent="0.25">
      <c r="A5" s="2" t="s">
        <v>18</v>
      </c>
      <c r="B5" s="16">
        <v>24</v>
      </c>
      <c r="D5" s="22" t="s">
        <v>161</v>
      </c>
      <c r="E5" s="22" t="s">
        <v>160</v>
      </c>
      <c r="F5" s="32">
        <v>60</v>
      </c>
      <c r="G5" s="21">
        <v>0</v>
      </c>
      <c r="H5" s="25">
        <f t="shared" si="0"/>
        <v>0</v>
      </c>
      <c r="I5" s="25">
        <f t="shared" si="1"/>
        <v>0</v>
      </c>
      <c r="J5" s="27">
        <f t="shared" si="2"/>
        <v>0</v>
      </c>
    </row>
    <row r="6" spans="1:10" ht="16.5" x14ac:dyDescent="0.25">
      <c r="A6" s="7" t="s">
        <v>19</v>
      </c>
      <c r="B6" s="41">
        <f>SUM(B7:B11)</f>
        <v>13</v>
      </c>
      <c r="D6" s="22"/>
      <c r="E6" s="22"/>
      <c r="F6" s="32"/>
      <c r="G6" s="21"/>
      <c r="H6" s="25">
        <f t="shared" si="0"/>
        <v>0</v>
      </c>
      <c r="I6" s="25">
        <f t="shared" si="1"/>
        <v>0</v>
      </c>
      <c r="J6" s="27">
        <f t="shared" si="2"/>
        <v>0</v>
      </c>
    </row>
    <row r="7" spans="1:10" x14ac:dyDescent="0.25">
      <c r="A7" s="5" t="s">
        <v>131</v>
      </c>
      <c r="B7" s="6">
        <v>0.5</v>
      </c>
      <c r="D7" s="9"/>
      <c r="E7" s="9"/>
      <c r="F7" s="33"/>
      <c r="G7" s="22" t="s">
        <v>9</v>
      </c>
      <c r="H7" s="25">
        <f>SUM(H3:H6)</f>
        <v>0</v>
      </c>
      <c r="I7" s="25">
        <f>SUM(I3:I6)</f>
        <v>0</v>
      </c>
      <c r="J7" s="27">
        <f>SUM(J3:J6)</f>
        <v>0</v>
      </c>
    </row>
    <row r="8" spans="1:10" x14ac:dyDescent="0.25">
      <c r="A8" s="5" t="s">
        <v>67</v>
      </c>
      <c r="B8" s="6">
        <v>0.5</v>
      </c>
      <c r="D8" s="9"/>
      <c r="E8" s="9"/>
      <c r="F8" s="9"/>
      <c r="G8" s="9"/>
      <c r="H8" s="9"/>
      <c r="I8" s="9"/>
      <c r="J8" s="9"/>
    </row>
    <row r="9" spans="1:10" ht="16.5" x14ac:dyDescent="0.25">
      <c r="A9" s="3" t="s">
        <v>22</v>
      </c>
      <c r="B9" s="13">
        <v>4</v>
      </c>
      <c r="D9" s="128" t="s">
        <v>171</v>
      </c>
      <c r="E9" s="128"/>
      <c r="F9" s="9"/>
      <c r="G9" s="38" t="s">
        <v>39</v>
      </c>
      <c r="H9" s="9"/>
      <c r="I9" s="9"/>
      <c r="J9" s="9"/>
    </row>
    <row r="10" spans="1:10" ht="16.5" x14ac:dyDescent="0.25">
      <c r="A10" s="3" t="s">
        <v>23</v>
      </c>
      <c r="B10" s="13">
        <v>2</v>
      </c>
      <c r="D10" s="29" t="s">
        <v>11</v>
      </c>
      <c r="E10" s="30" t="s">
        <v>12</v>
      </c>
      <c r="F10" s="9"/>
      <c r="G10" s="10"/>
      <c r="H10" s="9" t="s">
        <v>40</v>
      </c>
      <c r="I10" s="9"/>
      <c r="J10" s="9"/>
    </row>
    <row r="11" spans="1:10" ht="15.75" x14ac:dyDescent="0.25">
      <c r="A11" s="3" t="s">
        <v>24</v>
      </c>
      <c r="B11" s="13">
        <v>6</v>
      </c>
      <c r="D11" s="19" t="s">
        <v>29</v>
      </c>
      <c r="E11" s="20">
        <f>SUM(E12:E15)</f>
        <v>45</v>
      </c>
      <c r="F11" s="9"/>
      <c r="G11" s="11"/>
      <c r="H11" s="9" t="s">
        <v>41</v>
      </c>
      <c r="I11" s="9"/>
      <c r="J11" s="9"/>
    </row>
    <row r="12" spans="1:10" ht="16.5" x14ac:dyDescent="0.25">
      <c r="A12" s="7" t="s">
        <v>25</v>
      </c>
      <c r="B12" s="41">
        <f>SUM(B13:B17)</f>
        <v>8</v>
      </c>
      <c r="D12" s="37" t="s">
        <v>17</v>
      </c>
      <c r="E12" s="39">
        <f>B4</f>
        <v>24</v>
      </c>
      <c r="F12" s="9"/>
      <c r="G12" s="12"/>
      <c r="H12" s="9" t="s">
        <v>42</v>
      </c>
      <c r="I12" s="9"/>
      <c r="J12" s="9"/>
    </row>
    <row r="13" spans="1:10" x14ac:dyDescent="0.25">
      <c r="A13" s="5" t="s">
        <v>66</v>
      </c>
      <c r="B13" s="6">
        <f>I3</f>
        <v>0</v>
      </c>
      <c r="D13" s="37" t="s">
        <v>19</v>
      </c>
      <c r="E13" s="39">
        <f>B6</f>
        <v>13</v>
      </c>
      <c r="F13" s="9"/>
      <c r="G13" s="9"/>
      <c r="H13" s="9"/>
      <c r="I13" s="9"/>
      <c r="J13" s="9"/>
    </row>
    <row r="14" spans="1:10" x14ac:dyDescent="0.25">
      <c r="A14" s="5" t="s">
        <v>67</v>
      </c>
      <c r="B14" s="6">
        <f>I4</f>
        <v>0</v>
      </c>
      <c r="D14" s="37" t="s">
        <v>25</v>
      </c>
      <c r="E14" s="39">
        <f>B12</f>
        <v>8</v>
      </c>
      <c r="F14" s="9"/>
      <c r="G14" s="9"/>
      <c r="H14" s="9"/>
      <c r="I14" s="9"/>
      <c r="J14" s="9"/>
    </row>
    <row r="15" spans="1:10" x14ac:dyDescent="0.25">
      <c r="A15" s="3" t="s">
        <v>23</v>
      </c>
      <c r="B15" s="13">
        <v>2</v>
      </c>
      <c r="D15" s="37" t="s">
        <v>163</v>
      </c>
      <c r="E15" s="39">
        <f>B19</f>
        <v>0</v>
      </c>
      <c r="F15" s="9"/>
      <c r="G15" s="9"/>
      <c r="H15" s="9"/>
      <c r="I15" s="9"/>
      <c r="J15" s="9"/>
    </row>
    <row r="16" spans="1:10" x14ac:dyDescent="0.25">
      <c r="A16" s="3" t="s">
        <v>26</v>
      </c>
      <c r="B16" s="13">
        <v>2</v>
      </c>
      <c r="D16" s="9"/>
      <c r="E16" s="9"/>
      <c r="F16" s="9"/>
      <c r="G16" s="9"/>
      <c r="H16" s="9"/>
      <c r="I16" s="9"/>
      <c r="J16" s="9"/>
    </row>
    <row r="17" spans="1:10" x14ac:dyDescent="0.25">
      <c r="A17" s="3" t="s">
        <v>27</v>
      </c>
      <c r="B17" s="13">
        <v>4</v>
      </c>
      <c r="D17" s="9"/>
      <c r="E17" s="9"/>
      <c r="F17" s="9"/>
      <c r="G17" s="9"/>
      <c r="H17" s="9"/>
      <c r="I17" s="9"/>
      <c r="J17" s="9"/>
    </row>
    <row r="18" spans="1:10" x14ac:dyDescent="0.25">
      <c r="A18" s="3" t="s">
        <v>64</v>
      </c>
      <c r="B18" s="18">
        <v>0</v>
      </c>
    </row>
    <row r="19" spans="1:10" ht="16.5" x14ac:dyDescent="0.25">
      <c r="A19" s="7" t="s">
        <v>156</v>
      </c>
      <c r="B19" s="41">
        <f>SUM(B20)</f>
        <v>0</v>
      </c>
    </row>
    <row r="20" spans="1:10" x14ac:dyDescent="0.25">
      <c r="A20" s="5" t="s">
        <v>157</v>
      </c>
      <c r="B20" s="23">
        <f>I5</f>
        <v>0</v>
      </c>
    </row>
  </sheetData>
  <mergeCells count="3">
    <mergeCell ref="A1:B1"/>
    <mergeCell ref="D1:J1"/>
    <mergeCell ref="D9:E9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CAPA</vt:lpstr>
      <vt:lpstr>Lista</vt:lpstr>
      <vt:lpstr>e-Forms In-Loco</vt:lpstr>
      <vt:lpstr>e-Forms DC</vt:lpstr>
      <vt:lpstr>nddConnect</vt:lpstr>
      <vt:lpstr>NFC-e</vt:lpstr>
      <vt:lpstr>NFS-e Entr. In-loco</vt:lpstr>
      <vt:lpstr>NFS-e Entr. DC</vt:lpstr>
      <vt:lpstr>NFS-e Emiss. In-Loco</vt:lpstr>
      <vt:lpstr>NFS-e Emiss. DC</vt:lpstr>
      <vt:lpstr>REINF In-Loco</vt:lpstr>
      <vt:lpstr>REINF DC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Silveira Heusser</dc:creator>
  <cp:lastModifiedBy>Ewerton Luiz Bet Ferreira</cp:lastModifiedBy>
  <dcterms:created xsi:type="dcterms:W3CDTF">2014-02-27T19:14:54Z</dcterms:created>
  <dcterms:modified xsi:type="dcterms:W3CDTF">2018-11-09T18:48:28Z</dcterms:modified>
</cp:coreProperties>
</file>